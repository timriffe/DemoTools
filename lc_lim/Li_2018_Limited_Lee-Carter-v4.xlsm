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yectos\DemoTools\lc\"/>
    </mc:Choice>
  </mc:AlternateContent>
  <bookViews>
    <workbookView xWindow="1212" yWindow="0" windowWidth="15876" windowHeight="11508"/>
  </bookViews>
  <sheets>
    <sheet name="OutFigures" sheetId="1" r:id="rId1"/>
    <sheet name="Input_M" sheetId="2" r:id="rId2"/>
    <sheet name="Input_F" sheetId="6" r:id="rId3"/>
    <sheet name="In_Mx_M" sheetId="9" r:id="rId4"/>
    <sheet name="In_Mx_F" sheetId="10" r:id="rId5"/>
    <sheet name="Out_Mx_M" sheetId="5" r:id="rId6"/>
    <sheet name="Out_Mx_F" sheetId="7" r:id="rId7"/>
    <sheet name="Out_LT" sheetId="8" r:id="rId8"/>
  </sheets>
  <functionGroups builtInGroupCount="18"/>
  <definedNames>
    <definedName name="_xlnm._FilterDatabase" localSheetId="7" hidden="1">Out_LT!$A$1:$O$617</definedName>
    <definedName name="_TMAutoChart1Names" hidden="1">{"OutFigures","Chart 3","OutFigures Chart 3"}</definedName>
    <definedName name="_TMAutoChart1Refs" hidden="1">{"","","'OutFigures'!$E$22","'OutFigures'!$F$22","","","","","",""}</definedName>
    <definedName name="_TMAutoChartCount" hidden="1">1</definedName>
  </definedNames>
  <calcPr calcId="152511" iterate="1" iterateCount="1000" calcOnSave="0"/>
</workbook>
</file>

<file path=xl/calcChain.xml><?xml version="1.0" encoding="utf-8"?>
<calcChain xmlns="http://schemas.openxmlformats.org/spreadsheetml/2006/main">
  <c r="V26" i="1" l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A14" i="1" l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</calcChain>
</file>

<file path=xl/comments1.xml><?xml version="1.0" encoding="utf-8"?>
<comments xmlns="http://schemas.openxmlformats.org/spreadsheetml/2006/main">
  <authors>
    <author>user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 xml:space="preserve">Specify decimal year for mx. Time interval can be variable (any set of years up to 14). Use Mx at least up to age 80-84 (age 85 onward will be extended using Coale-Guo). If input data are available only up to age 60, use Mortpak LIFTB to extend Mx using Makeham function on last 6 age groups.
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 xml:space="preserve">Specify decimal year for mx. Time interval can be variable (any set of years up to 14). Use Mx at least up to age 80-84 (age 85 onward will be extended using Coale-Guo). If input data are available only up to age 60, use Mortpak LIFTB to extend Mx using Makeham function on last 6 age groups.
</t>
        </r>
      </text>
    </comment>
  </commentList>
</comments>
</file>

<file path=xl/comments3.xml><?xml version="1.0" encoding="utf-8"?>
<comments xmlns="http://schemas.openxmlformats.org/spreadsheetml/2006/main">
  <authors>
    <author>Patrick Gerland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Working datasheet used for Male Mx (automatically filled-in from Input_M datasheet)</t>
        </r>
      </text>
    </comment>
  </commentList>
</comments>
</file>

<file path=xl/comments4.xml><?xml version="1.0" encoding="utf-8"?>
<comments xmlns="http://schemas.openxmlformats.org/spreadsheetml/2006/main">
  <authors>
    <author>Patrick Gerland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Working datasheet used for Female Mx (automatically filled-in from Input_F datasheet)</t>
        </r>
      </text>
    </comment>
  </commentList>
</comments>
</file>

<file path=xl/sharedStrings.xml><?xml version="1.0" encoding="utf-8"?>
<sst xmlns="http://schemas.openxmlformats.org/spreadsheetml/2006/main" count="80" uniqueCount="62">
  <si>
    <t>1990-1995</t>
  </si>
  <si>
    <t>1995-2000</t>
  </si>
  <si>
    <t>2000-2005</t>
  </si>
  <si>
    <t>2005-2010</t>
  </si>
  <si>
    <t>1950-1955</t>
  </si>
  <si>
    <t>1955-1960</t>
  </si>
  <si>
    <t>1960-1965</t>
  </si>
  <si>
    <t>1965-1970</t>
  </si>
  <si>
    <t>1970-1975</t>
  </si>
  <si>
    <t>1975-1980</t>
  </si>
  <si>
    <t>1980-1985</t>
  </si>
  <si>
    <t>1985-1990</t>
  </si>
  <si>
    <t>LC_Eo_M</t>
  </si>
  <si>
    <t>LC_Eo_F</t>
  </si>
  <si>
    <t>Obs_Eo_M</t>
  </si>
  <si>
    <t>Obs_Eo_F</t>
  </si>
  <si>
    <t>Input</t>
  </si>
  <si>
    <t>LC_IMR_M</t>
  </si>
  <si>
    <t>LC_IMR_F</t>
  </si>
  <si>
    <t>Obs_IMR_M</t>
  </si>
  <si>
    <t>Obs_IMR_F</t>
  </si>
  <si>
    <t>2010-2015</t>
  </si>
  <si>
    <t>2015-2020</t>
  </si>
  <si>
    <t>Input_Eo_M</t>
  </si>
  <si>
    <t>Input_Eo_F</t>
  </si>
  <si>
    <t>Note: if use e0 as input, fill-in values below</t>
  </si>
  <si>
    <t>for e0 by sex and decimal year (up to 30 rows)</t>
  </si>
  <si>
    <t>Interpolated/extrapolated</t>
  </si>
  <si>
    <t>Observed</t>
  </si>
  <si>
    <t>computed using Lee-Carter</t>
  </si>
  <si>
    <t>based on input Mx</t>
  </si>
  <si>
    <t>Use (1) for only Mx or (2) also e0</t>
  </si>
  <si>
    <t>sex</t>
  </si>
  <si>
    <t>year</t>
  </si>
  <si>
    <t>yearlength</t>
  </si>
  <si>
    <t>age</t>
  </si>
  <si>
    <t>agelength</t>
  </si>
  <si>
    <t>mx</t>
  </si>
  <si>
    <t>qx</t>
  </si>
  <si>
    <t>lx</t>
  </si>
  <si>
    <t>dx</t>
  </si>
  <si>
    <t>LLx</t>
  </si>
  <si>
    <t>sx</t>
  </si>
  <si>
    <t>Tx</t>
  </si>
  <si>
    <t>ex</t>
  </si>
  <si>
    <t>ax</t>
  </si>
  <si>
    <t>px</t>
  </si>
  <si>
    <t>Input_F</t>
  </si>
  <si>
    <t>Input_M</t>
  </si>
  <si>
    <t>Input observed Mx (or qx or lx) for a variable range of years (minimum 3 years) in Input_M and Input_F datasheets. The open age group must be larger than 85+; if not, template uses Coale-Guo to extend up to 100.</t>
  </si>
  <si>
    <t>2 for Qx, 3 for lx</t>
  </si>
  <si>
    <t>1 for Mx</t>
  </si>
  <si>
    <t>Type of input</t>
  </si>
  <si>
    <t>Trend by sex</t>
  </si>
  <si>
    <t>1 for sex-specific trend (default)</t>
  </si>
  <si>
    <t>2 for both sexes trend (e.g., to prevent sex crossovers)</t>
  </si>
  <si>
    <t>1 for unconstraint time trend (default)</t>
  </si>
  <si>
    <t>2 to match input e0 by sex (values below)</t>
  </si>
  <si>
    <t>In_Mx_M</t>
  </si>
  <si>
    <t>In_Mx_F</t>
  </si>
  <si>
    <t>Output Mx are in Out_Mx_M and Out_Mx_F datasheets, and abridged life tables in Out_LT</t>
  </si>
  <si>
    <t>This template uses the Limited Lee-Carter method to interpolate and extrapolate Mx for 1950-2020 (developed by Nan Li in 2010, revised by PG in 2018 - extended to 2020 and e0 as input) - v4 (10 Jan. 2019 revision)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</si>
</sst>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\ ;\(&quot;$&quot;#,##0\)"/>
    <numFmt numFmtId="165" formatCode="0.0000"/>
    <numFmt numFmtId="166" formatCode="0.000000"/>
    <numFmt numFmtId="167" formatCode="0.0"/>
    <numFmt numFmtId="168" formatCode="0.000"/>
  </numFmts>
  <fonts count="35">
    <font>
      <sz val="8"/>
      <name val="Arial"/>
    </font>
    <font>
      <sz val="8"/>
      <color indexed="8"/>
      <name val="Calibri"/>
      <family val="2"/>
    </font>
    <font>
      <sz val="8"/>
      <color indexed="9"/>
      <name val="Calibri"/>
      <family val="2"/>
    </font>
    <font>
      <sz val="8"/>
      <color indexed="20"/>
      <name val="Calibri"/>
      <family val="2"/>
    </font>
    <font>
      <b/>
      <sz val="8"/>
      <color indexed="52"/>
      <name val="Calibri"/>
      <family val="2"/>
    </font>
    <font>
      <b/>
      <sz val="8"/>
      <color indexed="9"/>
      <name val="Calibri"/>
      <family val="2"/>
    </font>
    <font>
      <i/>
      <sz val="8"/>
      <color indexed="23"/>
      <name val="Calibri"/>
      <family val="2"/>
    </font>
    <font>
      <sz val="8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color indexed="62"/>
      <name val="Calibri"/>
      <family val="2"/>
    </font>
    <font>
      <sz val="8"/>
      <color indexed="52"/>
      <name val="Calibri"/>
      <family val="2"/>
    </font>
    <font>
      <sz val="8"/>
      <color indexed="60"/>
      <name val="Calibri"/>
      <family val="2"/>
    </font>
    <font>
      <sz val="10"/>
      <name val="Arial"/>
      <family val="2"/>
    </font>
    <font>
      <b/>
      <sz val="8"/>
      <color indexed="63"/>
      <name val="Calibri"/>
      <family val="2"/>
    </font>
    <font>
      <b/>
      <sz val="18"/>
      <color indexed="56"/>
      <name val="Cambria"/>
      <family val="2"/>
    </font>
    <font>
      <b/>
      <sz val="8"/>
      <color indexed="8"/>
      <name val="Calibri"/>
      <family val="2"/>
    </font>
    <font>
      <sz val="8"/>
      <color indexed="10"/>
      <name val="Calibri"/>
      <family val="2"/>
    </font>
    <font>
      <sz val="12"/>
      <name val="新細明體"/>
      <family val="1"/>
      <charset val="136"/>
    </font>
    <font>
      <sz val="11"/>
      <name val="ＭＳ Ｐゴシック"/>
      <family val="3"/>
      <charset val="128"/>
    </font>
    <font>
      <sz val="8"/>
      <color indexed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8"/>
      <color rgb="FF3333FF"/>
      <name val="Arial"/>
      <family val="2"/>
    </font>
    <font>
      <i/>
      <sz val="8"/>
      <color rgb="FFFF0000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b/>
      <sz val="8"/>
      <color rgb="FF3333FF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9"/>
      <color indexed="81"/>
      <name val="Tahoma"/>
      <family val="2"/>
    </font>
    <font>
      <sz val="8"/>
      <color rgb="FFFF0000"/>
      <name val="Calibri"/>
      <family val="2"/>
    </font>
    <font>
      <sz val="7"/>
      <name val="Arial"/>
      <family val="2"/>
    </font>
    <font>
      <b/>
      <sz val="9"/>
      <color indexed="81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rgb="FF999999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rgb="FF999999"/>
      </left>
      <right/>
      <top style="thick">
        <color rgb="FF999999"/>
      </top>
      <bottom/>
      <diagonal/>
    </border>
    <border>
      <left/>
      <right/>
      <top style="thick">
        <color rgb="FF999999"/>
      </top>
      <bottom/>
      <diagonal/>
    </border>
    <border>
      <left style="thick">
        <color rgb="FF999999"/>
      </left>
      <right/>
      <top style="thin">
        <color rgb="FF999999"/>
      </top>
      <bottom/>
      <diagonal/>
    </border>
    <border>
      <left/>
      <right style="thick">
        <color rgb="FF999999"/>
      </right>
      <top style="thin">
        <color rgb="FF999999"/>
      </top>
      <bottom/>
      <diagonal/>
    </border>
    <border>
      <left style="thick">
        <color rgb="FF999999"/>
      </left>
      <right/>
      <top style="thin">
        <color rgb="FF999999"/>
      </top>
      <bottom style="thick">
        <color rgb="FF999999"/>
      </bottom>
      <diagonal/>
    </border>
    <border>
      <left/>
      <right/>
      <top style="thin">
        <color rgb="FF999999"/>
      </top>
      <bottom style="thick">
        <color rgb="FF999999"/>
      </bottom>
      <diagonal/>
    </border>
    <border>
      <left/>
      <right style="thick">
        <color rgb="FF999999"/>
      </right>
      <top style="thin">
        <color rgb="FF999999"/>
      </top>
      <bottom style="thick">
        <color rgb="FF999999"/>
      </bottom>
      <diagonal/>
    </border>
  </borders>
  <cellStyleXfs count="4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3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6" fillId="0" borderId="0" applyNumberFormat="0" applyFill="0" applyBorder="0" applyAlignment="0" applyProtection="0"/>
    <xf numFmtId="2" fontId="14" fillId="0" borderId="0" applyFont="0" applyFill="0" applyBorder="0" applyAlignment="0" applyProtection="0"/>
    <xf numFmtId="0" fontId="7" fillId="4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1" applyNumberFormat="0" applyAlignment="0" applyProtection="0"/>
    <xf numFmtId="0" fontId="12" fillId="0" borderId="6" applyNumberFormat="0" applyFill="0" applyAlignment="0" applyProtection="0"/>
    <xf numFmtId="0" fontId="13" fillId="22" borderId="0" applyNumberFormat="0" applyBorder="0" applyAlignment="0" applyProtection="0"/>
    <xf numFmtId="0" fontId="14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0"/>
    <xf numFmtId="0" fontId="20" fillId="0" borderId="0"/>
  </cellStyleXfs>
  <cellXfs count="64">
    <xf numFmtId="0" fontId="0" fillId="0" borderId="0" xfId="0"/>
    <xf numFmtId="2" fontId="0" fillId="0" borderId="0" xfId="0" applyNumberFormat="1"/>
    <xf numFmtId="0" fontId="21" fillId="0" borderId="0" xfId="0" applyFont="1"/>
    <xf numFmtId="0" fontId="22" fillId="0" borderId="0" xfId="0" applyFont="1"/>
    <xf numFmtId="2" fontId="23" fillId="0" borderId="0" xfId="0" applyNumberFormat="1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23" fillId="0" borderId="16" xfId="0" applyNumberFormat="1" applyFont="1" applyBorder="1"/>
    <xf numFmtId="2" fontId="24" fillId="0" borderId="0" xfId="0" applyNumberFormat="1" applyFont="1"/>
    <xf numFmtId="165" fontId="24" fillId="0" borderId="0" xfId="0" applyNumberFormat="1" applyFont="1"/>
    <xf numFmtId="2" fontId="25" fillId="0" borderId="0" xfId="0" applyNumberFormat="1" applyFont="1"/>
    <xf numFmtId="165" fontId="25" fillId="0" borderId="0" xfId="0" applyNumberFormat="1" applyFont="1"/>
    <xf numFmtId="0" fontId="22" fillId="0" borderId="0" xfId="0" applyFont="1" applyAlignment="1">
      <alignment horizontal="left"/>
    </xf>
    <xf numFmtId="0" fontId="0" fillId="0" borderId="0" xfId="0" applyAlignment="1">
      <alignment horizontal="right"/>
    </xf>
    <xf numFmtId="0" fontId="26" fillId="0" borderId="0" xfId="0" applyFont="1" applyAlignment="1">
      <alignment horizontal="center"/>
    </xf>
    <xf numFmtId="0" fontId="27" fillId="0" borderId="0" xfId="0" applyFont="1"/>
    <xf numFmtId="0" fontId="27" fillId="24" borderId="0" xfId="0" applyFont="1" applyFill="1" applyAlignment="1">
      <alignment horizontal="center"/>
    </xf>
    <xf numFmtId="2" fontId="0" fillId="0" borderId="15" xfId="0" applyNumberFormat="1" applyBorder="1"/>
    <xf numFmtId="0" fontId="28" fillId="25" borderId="17" xfId="0" applyFont="1" applyFill="1" applyBorder="1"/>
    <xf numFmtId="0" fontId="28" fillId="25" borderId="18" xfId="0" applyFont="1" applyFill="1" applyBorder="1"/>
    <xf numFmtId="0" fontId="29" fillId="25" borderId="18" xfId="0" applyFont="1" applyFill="1" applyBorder="1"/>
    <xf numFmtId="166" fontId="0" fillId="0" borderId="0" xfId="0" applyNumberFormat="1"/>
    <xf numFmtId="0" fontId="23" fillId="0" borderId="0" xfId="0" applyFont="1"/>
    <xf numFmtId="167" fontId="0" fillId="0" borderId="0" xfId="0" applyNumberFormat="1"/>
    <xf numFmtId="167" fontId="0" fillId="0" borderId="14" xfId="0" applyNumberFormat="1" applyBorder="1"/>
    <xf numFmtId="166" fontId="24" fillId="25" borderId="19" xfId="0" applyNumberFormat="1" applyFont="1" applyFill="1" applyBorder="1"/>
    <xf numFmtId="166" fontId="24" fillId="25" borderId="10" xfId="0" applyNumberFormat="1" applyFont="1" applyFill="1" applyBorder="1"/>
    <xf numFmtId="166" fontId="24" fillId="25" borderId="20" xfId="0" applyNumberFormat="1" applyFont="1" applyFill="1" applyBorder="1"/>
    <xf numFmtId="166" fontId="24" fillId="25" borderId="21" xfId="0" applyNumberFormat="1" applyFont="1" applyFill="1" applyBorder="1"/>
    <xf numFmtId="166" fontId="24" fillId="25" borderId="22" xfId="0" applyNumberFormat="1" applyFont="1" applyFill="1" applyBorder="1"/>
    <xf numFmtId="166" fontId="24" fillId="25" borderId="23" xfId="0" applyNumberFormat="1" applyFont="1" applyFill="1" applyBorder="1"/>
    <xf numFmtId="166" fontId="30" fillId="25" borderId="19" xfId="0" applyNumberFormat="1" applyFont="1" applyFill="1" applyBorder="1"/>
    <xf numFmtId="166" fontId="30" fillId="25" borderId="10" xfId="0" applyNumberFormat="1" applyFont="1" applyFill="1" applyBorder="1"/>
    <xf numFmtId="166" fontId="30" fillId="25" borderId="20" xfId="0" applyNumberFormat="1" applyFont="1" applyFill="1" applyBorder="1"/>
    <xf numFmtId="166" fontId="30" fillId="25" borderId="21" xfId="0" applyNumberFormat="1" applyFont="1" applyFill="1" applyBorder="1"/>
    <xf numFmtId="166" fontId="30" fillId="25" borderId="22" xfId="0" applyNumberFormat="1" applyFont="1" applyFill="1" applyBorder="1"/>
    <xf numFmtId="166" fontId="30" fillId="25" borderId="23" xfId="0" applyNumberFormat="1" applyFont="1" applyFill="1" applyBorder="1"/>
    <xf numFmtId="167" fontId="27" fillId="0" borderId="0" xfId="0" applyNumberFormat="1" applyFont="1"/>
    <xf numFmtId="0" fontId="24" fillId="0" borderId="0" xfId="0" applyFont="1" applyFill="1"/>
    <xf numFmtId="166" fontId="24" fillId="0" borderId="0" xfId="0" applyNumberFormat="1" applyFont="1" applyFill="1"/>
    <xf numFmtId="1" fontId="24" fillId="0" borderId="0" xfId="0" applyNumberFormat="1" applyFont="1" applyFill="1"/>
    <xf numFmtId="2" fontId="24" fillId="0" borderId="0" xfId="0" applyNumberFormat="1" applyFont="1" applyFill="1"/>
    <xf numFmtId="168" fontId="24" fillId="0" borderId="0" xfId="0" applyNumberFormat="1" applyFont="1" applyFill="1"/>
    <xf numFmtId="0" fontId="30" fillId="0" borderId="0" xfId="0" applyFont="1" applyFill="1"/>
    <xf numFmtId="166" fontId="30" fillId="0" borderId="0" xfId="0" applyNumberFormat="1" applyFont="1" applyFill="1"/>
    <xf numFmtId="1" fontId="30" fillId="0" borderId="0" xfId="0" applyNumberFormat="1" applyFont="1" applyFill="1"/>
    <xf numFmtId="2" fontId="30" fillId="0" borderId="0" xfId="0" applyNumberFormat="1" applyFont="1" applyFill="1"/>
    <xf numFmtId="168" fontId="30" fillId="0" borderId="0" xfId="0" applyNumberFormat="1" applyFont="1" applyFill="1"/>
    <xf numFmtId="1" fontId="32" fillId="0" borderId="0" xfId="0" applyNumberFormat="1" applyFont="1" applyFill="1"/>
    <xf numFmtId="0" fontId="27" fillId="26" borderId="0" xfId="0" applyFont="1" applyFill="1" applyAlignment="1">
      <alignment horizontal="center"/>
    </xf>
    <xf numFmtId="0" fontId="33" fillId="0" borderId="0" xfId="0" quotePrefix="1" applyFont="1"/>
    <xf numFmtId="165" fontId="24" fillId="25" borderId="19" xfId="0" applyNumberFormat="1" applyFont="1" applyFill="1" applyBorder="1"/>
    <xf numFmtId="165" fontId="24" fillId="25" borderId="10" xfId="0" applyNumberFormat="1" applyFont="1" applyFill="1" applyBorder="1"/>
    <xf numFmtId="165" fontId="24" fillId="25" borderId="21" xfId="0" applyNumberFormat="1" applyFont="1" applyFill="1" applyBorder="1"/>
    <xf numFmtId="165" fontId="24" fillId="25" borderId="22" xfId="0" applyNumberFormat="1" applyFont="1" applyFill="1" applyBorder="1"/>
    <xf numFmtId="165" fontId="30" fillId="25" borderId="19" xfId="0" applyNumberFormat="1" applyFont="1" applyFill="1" applyBorder="1"/>
    <xf numFmtId="165" fontId="30" fillId="25" borderId="10" xfId="0" applyNumberFormat="1" applyFont="1" applyFill="1" applyBorder="1"/>
    <xf numFmtId="165" fontId="30" fillId="25" borderId="21" xfId="0" applyNumberFormat="1" applyFont="1" applyFill="1" applyBorder="1"/>
    <xf numFmtId="165" fontId="30" fillId="25" borderId="22" xfId="0" applyNumberFormat="1" applyFont="1" applyFill="1" applyBorder="1"/>
    <xf numFmtId="2" fontId="28" fillId="25" borderId="17" xfId="0" applyNumberFormat="1" applyFont="1" applyFill="1" applyBorder="1"/>
    <xf numFmtId="2" fontId="28" fillId="25" borderId="18" xfId="0" applyNumberFormat="1" applyFont="1" applyFill="1" applyBorder="1"/>
    <xf numFmtId="2" fontId="29" fillId="25" borderId="18" xfId="0" applyNumberFormat="1" applyFont="1" applyFill="1" applyBorder="1"/>
    <xf numFmtId="11" fontId="0" fillId="0" borderId="0" xfId="0" applyNumberFormat="1"/>
  </cellXfs>
  <cellStyles count="4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33" builtinId="26" customBuiltin="1"/>
    <cellStyle name="Cálculo" xfId="26" builtinId="22" customBuiltin="1"/>
    <cellStyle name="Celda de comprobación" xfId="27" builtinId="23" customBuiltin="1"/>
    <cellStyle name="Celda vinculada" xfId="39" builtinId="24" customBuiltin="1"/>
    <cellStyle name="Comma0" xfId="28"/>
    <cellStyle name="Currency0" xfId="29"/>
    <cellStyle name="Date" xfId="30"/>
    <cellStyle name="Encabezado 1" xfId="34" builtinId="16" customBuiltin="1"/>
    <cellStyle name="Encabezado 4" xfId="37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8" builtinId="20" customBuiltin="1"/>
    <cellStyle name="Fixed" xfId="32"/>
    <cellStyle name="Incorrecto" xfId="25" builtinId="27" customBuiltin="1"/>
    <cellStyle name="Neutral" xfId="40" builtinId="28" customBuiltin="1"/>
    <cellStyle name="Normal" xfId="0" builtinId="0"/>
    <cellStyle name="Notas" xfId="41" builtinId="10" customBuiltin="1"/>
    <cellStyle name="Salida" xfId="42" builtinId="21" customBuiltin="1"/>
    <cellStyle name="Texto de advertencia" xfId="45" builtinId="11" customBuiltin="1"/>
    <cellStyle name="Texto explicativo" xfId="31" builtinId="53" customBuiltin="1"/>
    <cellStyle name="Título" xfId="43" builtinId="15" customBuiltin="1"/>
    <cellStyle name="Título 2" xfId="35" builtinId="17" customBuiltin="1"/>
    <cellStyle name="Título 3" xfId="36" builtinId="18" customBuiltin="1"/>
    <cellStyle name="Total" xfId="44" builtinId="25" customBuiltin="1"/>
    <cellStyle name="一般_Life_Table(00-03)" xfId="46"/>
    <cellStyle name="標準_JB16" xfId="4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600"/>
      <color rgb="FF66FFFF"/>
      <color rgb="FF3333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 Life Expectancy at Birth</a:t>
            </a:r>
          </a:p>
        </c:rich>
      </c:tx>
      <c:layout>
        <c:manualLayout>
          <c:xMode val="edge"/>
          <c:yMode val="edge"/>
          <c:x val="0.33267358898668492"/>
          <c:y val="3.42857142857142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848184818481842E-2"/>
          <c:y val="0.12378952841326796"/>
          <c:w val="0.87890997304939944"/>
          <c:h val="0.759067711361794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OutFigures!$B$12</c:f>
              <c:strCache>
                <c:ptCount val="1"/>
                <c:pt idx="0">
                  <c:v>LC_Eo_M</c:v>
                </c:pt>
              </c:strCache>
            </c:strRef>
          </c:tx>
          <c:spPr>
            <a:ln w="19050">
              <a:solidFill>
                <a:srgbClr val="00B0F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B0F0"/>
              </a:solidFill>
              <a:ln>
                <a:solidFill>
                  <a:srgbClr val="00B0F0"/>
                </a:solidFill>
                <a:prstDash val="solid"/>
              </a:ln>
            </c:spPr>
          </c:marker>
          <c:xVal>
            <c:numRef>
              <c:f>OutFigures!$A$13:$A$26</c:f>
              <c:numCache>
                <c:formatCode>General</c:formatCode>
                <c:ptCount val="14"/>
                <c:pt idx="0">
                  <c:v>1953</c:v>
                </c:pt>
                <c:pt idx="1">
                  <c:v>1958</c:v>
                </c:pt>
                <c:pt idx="2">
                  <c:v>1963</c:v>
                </c:pt>
                <c:pt idx="3">
                  <c:v>1968</c:v>
                </c:pt>
                <c:pt idx="4">
                  <c:v>1973</c:v>
                </c:pt>
                <c:pt idx="5">
                  <c:v>1978</c:v>
                </c:pt>
                <c:pt idx="6">
                  <c:v>1983</c:v>
                </c:pt>
                <c:pt idx="7">
                  <c:v>1988</c:v>
                </c:pt>
                <c:pt idx="8">
                  <c:v>1993</c:v>
                </c:pt>
                <c:pt idx="9">
                  <c:v>1998</c:v>
                </c:pt>
                <c:pt idx="10">
                  <c:v>2003</c:v>
                </c:pt>
                <c:pt idx="11">
                  <c:v>2008</c:v>
                </c:pt>
                <c:pt idx="12">
                  <c:v>2013</c:v>
                </c:pt>
                <c:pt idx="13">
                  <c:v>2018</c:v>
                </c:pt>
              </c:numCache>
            </c:numRef>
          </c:xVal>
          <c:yVal>
            <c:numRef>
              <c:f>OutFigures!$B$13:$B$26</c:f>
              <c:numCache>
                <c:formatCode>0.00</c:formatCode>
                <c:ptCount val="14"/>
                <c:pt idx="0">
                  <c:v>55.25285629152151</c:v>
                </c:pt>
                <c:pt idx="1">
                  <c:v>58.40998706501329</c:v>
                </c:pt>
                <c:pt idx="2">
                  <c:v>61.166421343204647</c:v>
                </c:pt>
                <c:pt idx="3">
                  <c:v>63.581120795237332</c:v>
                </c:pt>
                <c:pt idx="4">
                  <c:v>65.676676397400058</c:v>
                </c:pt>
                <c:pt idx="5">
                  <c:v>67.491573895181261</c:v>
                </c:pt>
                <c:pt idx="6">
                  <c:v>69.073858971552099</c:v>
                </c:pt>
                <c:pt idx="7">
                  <c:v>70.462122506936282</c:v>
                </c:pt>
                <c:pt idx="8">
                  <c:v>71.687994166514898</c:v>
                </c:pt>
                <c:pt idx="9">
                  <c:v>72.777614937302801</c:v>
                </c:pt>
                <c:pt idx="10">
                  <c:v>73.752624007002368</c:v>
                </c:pt>
                <c:pt idx="11">
                  <c:v>74.630902932896561</c:v>
                </c:pt>
                <c:pt idx="12">
                  <c:v>75.427183619127817</c:v>
                </c:pt>
                <c:pt idx="13">
                  <c:v>76.15356507034879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460-4FB7-A0A0-866E04DAE680}"/>
            </c:ext>
          </c:extLst>
        </c:ser>
        <c:ser>
          <c:idx val="1"/>
          <c:order val="1"/>
          <c:tx>
            <c:strRef>
              <c:f>OutFigures!$C$12</c:f>
              <c:strCache>
                <c:ptCount val="1"/>
                <c:pt idx="0">
                  <c:v>LC_Eo_F</c:v>
                </c:pt>
              </c:strCache>
            </c:strRef>
          </c:tx>
          <c:spPr>
            <a:ln w="19050">
              <a:solidFill>
                <a:srgbClr val="FF66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OutFigures!$A$13:$A$26</c:f>
              <c:numCache>
                <c:formatCode>General</c:formatCode>
                <c:ptCount val="14"/>
                <c:pt idx="0">
                  <c:v>1953</c:v>
                </c:pt>
                <c:pt idx="1">
                  <c:v>1958</c:v>
                </c:pt>
                <c:pt idx="2">
                  <c:v>1963</c:v>
                </c:pt>
                <c:pt idx="3">
                  <c:v>1968</c:v>
                </c:pt>
                <c:pt idx="4">
                  <c:v>1973</c:v>
                </c:pt>
                <c:pt idx="5">
                  <c:v>1978</c:v>
                </c:pt>
                <c:pt idx="6">
                  <c:v>1983</c:v>
                </c:pt>
                <c:pt idx="7">
                  <c:v>1988</c:v>
                </c:pt>
                <c:pt idx="8">
                  <c:v>1993</c:v>
                </c:pt>
                <c:pt idx="9">
                  <c:v>1998</c:v>
                </c:pt>
                <c:pt idx="10">
                  <c:v>2003</c:v>
                </c:pt>
                <c:pt idx="11">
                  <c:v>2008</c:v>
                </c:pt>
                <c:pt idx="12">
                  <c:v>2013</c:v>
                </c:pt>
                <c:pt idx="13">
                  <c:v>2018</c:v>
                </c:pt>
              </c:numCache>
            </c:numRef>
          </c:xVal>
          <c:yVal>
            <c:numRef>
              <c:f>OutFigures!$C$13:$C$26</c:f>
              <c:numCache>
                <c:formatCode>0.00</c:formatCode>
                <c:ptCount val="14"/>
                <c:pt idx="0">
                  <c:v>60.366636278395866</c:v>
                </c:pt>
                <c:pt idx="1">
                  <c:v>63.903088073466066</c:v>
                </c:pt>
                <c:pt idx="2">
                  <c:v>66.969334665562656</c:v>
                </c:pt>
                <c:pt idx="3">
                  <c:v>69.638716246707432</c:v>
                </c:pt>
                <c:pt idx="4">
                  <c:v>71.922363655997387</c:v>
                </c:pt>
                <c:pt idx="5">
                  <c:v>73.886748763390884</c:v>
                </c:pt>
                <c:pt idx="6">
                  <c:v>75.584867780152365</c:v>
                </c:pt>
                <c:pt idx="7">
                  <c:v>77.060060675499443</c:v>
                </c:pt>
                <c:pt idx="8">
                  <c:v>78.348168711517019</c:v>
                </c:pt>
                <c:pt idx="9">
                  <c:v>79.47892564450477</c:v>
                </c:pt>
                <c:pt idx="10">
                  <c:v>80.47698098650126</c:v>
                </c:pt>
                <c:pt idx="11">
                  <c:v>81.362726577006711</c:v>
                </c:pt>
                <c:pt idx="12">
                  <c:v>82.152996671941651</c:v>
                </c:pt>
                <c:pt idx="13">
                  <c:v>82.861669659820137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460-4FB7-A0A0-866E04DAE680}"/>
            </c:ext>
          </c:extLst>
        </c:ser>
        <c:ser>
          <c:idx val="2"/>
          <c:order val="2"/>
          <c:tx>
            <c:strRef>
              <c:f>OutFigures!$E$12</c:f>
              <c:strCache>
                <c:ptCount val="1"/>
                <c:pt idx="0">
                  <c:v>Obs_Eo_M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3333FF"/>
                </a:solidFill>
                <a:prstDash val="solid"/>
              </a:ln>
            </c:spPr>
          </c:marker>
          <c:xVal>
            <c:numRef>
              <c:f>OutFigures!$D$13:$D$93</c:f>
              <c:numCache>
                <c:formatCode>0.0</c:formatCode>
                <c:ptCount val="81"/>
                <c:pt idx="0">
                  <c:v>1980.6710205078125</c:v>
                </c:pt>
                <c:pt idx="1">
                  <c:v>1991.66796875</c:v>
                </c:pt>
                <c:pt idx="2">
                  <c:v>1996.5860595703125</c:v>
                </c:pt>
                <c:pt idx="3">
                  <c:v>2000.5860595703125</c:v>
                </c:pt>
                <c:pt idx="4">
                  <c:v>2010.7099609375</c:v>
                </c:pt>
              </c:numCache>
            </c:numRef>
          </c:xVal>
          <c:yVal>
            <c:numRef>
              <c:f>OutFigures!$E$13:$E$93</c:f>
              <c:numCache>
                <c:formatCode>0.00</c:formatCode>
                <c:ptCount val="81"/>
                <c:pt idx="0">
                  <c:v>67.915153459191188</c:v>
                </c:pt>
                <c:pt idx="1">
                  <c:v>71.053320228969312</c:v>
                </c:pt>
                <c:pt idx="2">
                  <c:v>71.517990161286875</c:v>
                </c:pt>
                <c:pt idx="3">
                  <c:v>73.571504404606486</c:v>
                </c:pt>
                <c:pt idx="4">
                  <c:v>75.195799390506664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460-4FB7-A0A0-866E04DAE680}"/>
            </c:ext>
          </c:extLst>
        </c:ser>
        <c:ser>
          <c:idx val="3"/>
          <c:order val="3"/>
          <c:tx>
            <c:strRef>
              <c:f>OutFigures!$F$12</c:f>
              <c:strCache>
                <c:ptCount val="1"/>
                <c:pt idx="0">
                  <c:v>Obs_Eo_F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circle"/>
            <c:size val="8"/>
            <c:spPr>
              <a:noFill/>
              <a:ln w="9525">
                <a:solidFill>
                  <a:srgbClr val="FF0000"/>
                </a:solidFill>
                <a:prstDash val="solid"/>
              </a:ln>
            </c:spPr>
          </c:marker>
          <c:xVal>
            <c:numRef>
              <c:f>OutFigures!$D$13:$D$93</c:f>
              <c:numCache>
                <c:formatCode>0.0</c:formatCode>
                <c:ptCount val="81"/>
                <c:pt idx="0">
                  <c:v>1980.6710205078125</c:v>
                </c:pt>
                <c:pt idx="1">
                  <c:v>1991.66796875</c:v>
                </c:pt>
                <c:pt idx="2">
                  <c:v>1996.5860595703125</c:v>
                </c:pt>
                <c:pt idx="3">
                  <c:v>2000.5860595703125</c:v>
                </c:pt>
                <c:pt idx="4">
                  <c:v>2010.7099609375</c:v>
                </c:pt>
              </c:numCache>
            </c:numRef>
          </c:xVal>
          <c:yVal>
            <c:numRef>
              <c:f>OutFigures!$F$13:$F$93</c:f>
              <c:numCache>
                <c:formatCode>0.00</c:formatCode>
                <c:ptCount val="81"/>
                <c:pt idx="0">
                  <c:v>74.938276597196065</c:v>
                </c:pt>
                <c:pt idx="1">
                  <c:v>78.602447639956068</c:v>
                </c:pt>
                <c:pt idx="2">
                  <c:v>78.71120996053871</c:v>
                </c:pt>
                <c:pt idx="3">
                  <c:v>80.637413054553264</c:v>
                </c:pt>
                <c:pt idx="4">
                  <c:v>82.005883058639242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460-4FB7-A0A0-866E04DAE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413848"/>
        <c:axId val="328407576"/>
      </c:scatterChart>
      <c:valAx>
        <c:axId val="328413848"/>
        <c:scaling>
          <c:orientation val="minMax"/>
          <c:max val="2020"/>
          <c:min val="19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407576"/>
        <c:crosses val="autoZero"/>
        <c:crossBetween val="midCat"/>
        <c:majorUnit val="5"/>
      </c:valAx>
      <c:valAx>
        <c:axId val="328407576"/>
        <c:scaling>
          <c:orientation val="minMax"/>
          <c:min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413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496819265075621"/>
          <c:y val="0.1444322734786985"/>
          <c:w val="0.17821799410000977"/>
          <c:h val="0.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b="1"/>
              <a:t>Infant Mortality Rate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1089276294600979E-2"/>
          <c:y val="0.1132081622301714"/>
          <c:w val="0.86402702632467976"/>
          <c:h val="0.784887175838573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OutFigures!$W$12</c:f>
              <c:strCache>
                <c:ptCount val="1"/>
                <c:pt idx="0">
                  <c:v>LC_IMR_M</c:v>
                </c:pt>
              </c:strCache>
            </c:strRef>
          </c:tx>
          <c:spPr>
            <a:ln w="19050">
              <a:solidFill>
                <a:srgbClr val="00B0F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B0F0"/>
              </a:solidFill>
              <a:ln>
                <a:solidFill>
                  <a:srgbClr val="00B0F0"/>
                </a:solidFill>
                <a:prstDash val="solid"/>
              </a:ln>
            </c:spPr>
          </c:marker>
          <c:xVal>
            <c:numRef>
              <c:f>OutFigures!$V$13:$V$26</c:f>
              <c:numCache>
                <c:formatCode>General</c:formatCode>
                <c:ptCount val="14"/>
                <c:pt idx="0">
                  <c:v>1953</c:v>
                </c:pt>
                <c:pt idx="1">
                  <c:v>1958</c:v>
                </c:pt>
                <c:pt idx="2">
                  <c:v>1963</c:v>
                </c:pt>
                <c:pt idx="3">
                  <c:v>1968</c:v>
                </c:pt>
                <c:pt idx="4">
                  <c:v>1973</c:v>
                </c:pt>
                <c:pt idx="5">
                  <c:v>1978</c:v>
                </c:pt>
                <c:pt idx="6">
                  <c:v>1983</c:v>
                </c:pt>
                <c:pt idx="7">
                  <c:v>1988</c:v>
                </c:pt>
                <c:pt idx="8">
                  <c:v>1993</c:v>
                </c:pt>
                <c:pt idx="9">
                  <c:v>1998</c:v>
                </c:pt>
                <c:pt idx="10">
                  <c:v>2003</c:v>
                </c:pt>
                <c:pt idx="11">
                  <c:v>2008</c:v>
                </c:pt>
                <c:pt idx="12">
                  <c:v>2013</c:v>
                </c:pt>
                <c:pt idx="13">
                  <c:v>2018</c:v>
                </c:pt>
              </c:numCache>
            </c:numRef>
          </c:xVal>
          <c:yVal>
            <c:numRef>
              <c:f>OutFigures!$W$13:$W$26</c:f>
              <c:numCache>
                <c:formatCode>0.0000</c:formatCode>
                <c:ptCount val="14"/>
                <c:pt idx="0">
                  <c:v>0.1899465727762599</c:v>
                </c:pt>
                <c:pt idx="1">
                  <c:v>0.14991920751612942</c:v>
                </c:pt>
                <c:pt idx="2">
                  <c:v>0.11832679291738896</c:v>
                </c:pt>
                <c:pt idx="3">
                  <c:v>9.3391835203026283E-2</c:v>
                </c:pt>
                <c:pt idx="4">
                  <c:v>7.37114111482646E-2</c:v>
                </c:pt>
                <c:pt idx="5">
                  <c:v>5.8178234978002015E-2</c:v>
                </c:pt>
                <c:pt idx="6">
                  <c:v>4.5918358805362602E-2</c:v>
                </c:pt>
                <c:pt idx="7">
                  <c:v>3.6242001431897534E-2</c:v>
                </c:pt>
                <c:pt idx="8">
                  <c:v>2.8604738975040799E-2</c:v>
                </c:pt>
                <c:pt idx="9">
                  <c:v>2.2576873779108442E-2</c:v>
                </c:pt>
                <c:pt idx="10">
                  <c:v>1.7819258203423876E-2</c:v>
                </c:pt>
                <c:pt idx="11">
                  <c:v>1.406421305389554E-2</c:v>
                </c:pt>
                <c:pt idx="12">
                  <c:v>1.1100467065871414E-2</c:v>
                </c:pt>
                <c:pt idx="13">
                  <c:v>8.7612700837439335E-3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C05-4560-B325-29506A3CB2CC}"/>
            </c:ext>
          </c:extLst>
        </c:ser>
        <c:ser>
          <c:idx val="1"/>
          <c:order val="1"/>
          <c:tx>
            <c:strRef>
              <c:f>OutFigures!$X$12</c:f>
              <c:strCache>
                <c:ptCount val="1"/>
                <c:pt idx="0">
                  <c:v>LC_IMR_F</c:v>
                </c:pt>
              </c:strCache>
            </c:strRef>
          </c:tx>
          <c:spPr>
            <a:ln w="19050">
              <a:solidFill>
                <a:srgbClr val="FF66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OutFigures!$V$13:$V$26</c:f>
              <c:numCache>
                <c:formatCode>General</c:formatCode>
                <c:ptCount val="14"/>
                <c:pt idx="0">
                  <c:v>1953</c:v>
                </c:pt>
                <c:pt idx="1">
                  <c:v>1958</c:v>
                </c:pt>
                <c:pt idx="2">
                  <c:v>1963</c:v>
                </c:pt>
                <c:pt idx="3">
                  <c:v>1968</c:v>
                </c:pt>
                <c:pt idx="4">
                  <c:v>1973</c:v>
                </c:pt>
                <c:pt idx="5">
                  <c:v>1978</c:v>
                </c:pt>
                <c:pt idx="6">
                  <c:v>1983</c:v>
                </c:pt>
                <c:pt idx="7">
                  <c:v>1988</c:v>
                </c:pt>
                <c:pt idx="8">
                  <c:v>1993</c:v>
                </c:pt>
                <c:pt idx="9">
                  <c:v>1998</c:v>
                </c:pt>
                <c:pt idx="10">
                  <c:v>2003</c:v>
                </c:pt>
                <c:pt idx="11">
                  <c:v>2008</c:v>
                </c:pt>
                <c:pt idx="12">
                  <c:v>2013</c:v>
                </c:pt>
                <c:pt idx="13">
                  <c:v>2018</c:v>
                </c:pt>
              </c:numCache>
            </c:numRef>
          </c:xVal>
          <c:yVal>
            <c:numRef>
              <c:f>OutFigures!$X$13:$X$26</c:f>
              <c:numCache>
                <c:formatCode>0.0000</c:formatCode>
                <c:ptCount val="14"/>
                <c:pt idx="0">
                  <c:v>0.17016676747969792</c:v>
                </c:pt>
                <c:pt idx="1">
                  <c:v>0.13364233919540461</c:v>
                </c:pt>
                <c:pt idx="2">
                  <c:v>0.10495747842039983</c:v>
                </c:pt>
                <c:pt idx="3">
                  <c:v>8.2429508063770002E-2</c:v>
                </c:pt>
                <c:pt idx="4">
                  <c:v>6.4736919197122239E-2</c:v>
                </c:pt>
                <c:pt idx="5">
                  <c:v>5.0841850273964394E-2</c:v>
                </c:pt>
                <c:pt idx="6">
                  <c:v>3.992920533350186E-2</c:v>
                </c:pt>
                <c:pt idx="7">
                  <c:v>3.1358839813534475E-2</c:v>
                </c:pt>
                <c:pt idx="8">
                  <c:v>2.4628009153636509E-2</c:v>
                </c:pt>
                <c:pt idx="9">
                  <c:v>1.9341877393366486E-2</c:v>
                </c:pt>
                <c:pt idx="10">
                  <c:v>1.5190355776068956E-2</c:v>
                </c:pt>
                <c:pt idx="11">
                  <c:v>1.1929912692068294E-2</c:v>
                </c:pt>
                <c:pt idx="12">
                  <c:v>9.3692879178372494E-3</c:v>
                </c:pt>
                <c:pt idx="13">
                  <c:v>7.3582731368767394E-3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C05-4560-B325-29506A3CB2CC}"/>
            </c:ext>
          </c:extLst>
        </c:ser>
        <c:ser>
          <c:idx val="2"/>
          <c:order val="2"/>
          <c:tx>
            <c:strRef>
              <c:f>OutFigures!$Z$12</c:f>
              <c:strCache>
                <c:ptCount val="1"/>
                <c:pt idx="0">
                  <c:v>Obs_IMR_M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noFill/>
              <a:ln>
                <a:solidFill>
                  <a:srgbClr val="3333FF"/>
                </a:solidFill>
                <a:prstDash val="solid"/>
              </a:ln>
            </c:spPr>
          </c:marker>
          <c:xVal>
            <c:numRef>
              <c:f>OutFigures!$Y$13:$Y$93</c:f>
              <c:numCache>
                <c:formatCode>0.0</c:formatCode>
                <c:ptCount val="81"/>
                <c:pt idx="0">
                  <c:v>1980.6710205078125</c:v>
                </c:pt>
                <c:pt idx="1">
                  <c:v>1991.66796875</c:v>
                </c:pt>
                <c:pt idx="2">
                  <c:v>1996.5860595703125</c:v>
                </c:pt>
                <c:pt idx="3">
                  <c:v>2000.5860595703125</c:v>
                </c:pt>
                <c:pt idx="4">
                  <c:v>2010.7099609375</c:v>
                </c:pt>
              </c:numCache>
            </c:numRef>
          </c:xVal>
          <c:yVal>
            <c:numRef>
              <c:f>OutFigures!$Z$13:$Z$93</c:f>
              <c:numCache>
                <c:formatCode>0.0000</c:formatCode>
                <c:ptCount val="81"/>
                <c:pt idx="0">
                  <c:v>5.8872060440669928E-2</c:v>
                </c:pt>
                <c:pt idx="1">
                  <c:v>3.0824658577031126E-2</c:v>
                </c:pt>
                <c:pt idx="2">
                  <c:v>2.6198373658719944E-2</c:v>
                </c:pt>
                <c:pt idx="3">
                  <c:v>1.8484348361379445E-2</c:v>
                </c:pt>
                <c:pt idx="4">
                  <c:v>1.2949570813361316E-2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C05-4560-B325-29506A3CB2CC}"/>
            </c:ext>
          </c:extLst>
        </c:ser>
        <c:ser>
          <c:idx val="3"/>
          <c:order val="3"/>
          <c:tx>
            <c:strRef>
              <c:f>OutFigures!$AA$12</c:f>
              <c:strCache>
                <c:ptCount val="1"/>
                <c:pt idx="0">
                  <c:v>Obs_IMR_F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OutFigures!$Y$13:$Y$93</c:f>
              <c:numCache>
                <c:formatCode>0.0</c:formatCode>
                <c:ptCount val="81"/>
                <c:pt idx="0">
                  <c:v>1980.6710205078125</c:v>
                </c:pt>
                <c:pt idx="1">
                  <c:v>1991.66796875</c:v>
                </c:pt>
                <c:pt idx="2">
                  <c:v>1996.5860595703125</c:v>
                </c:pt>
                <c:pt idx="3">
                  <c:v>2000.5860595703125</c:v>
                </c:pt>
                <c:pt idx="4">
                  <c:v>2010.7099609375</c:v>
                </c:pt>
              </c:numCache>
            </c:numRef>
          </c:xVal>
          <c:yVal>
            <c:numRef>
              <c:f>OutFigures!$AA$13:$AA$93</c:f>
              <c:numCache>
                <c:formatCode>0.0000</c:formatCode>
                <c:ptCount val="81"/>
                <c:pt idx="0">
                  <c:v>4.5268937969766367E-2</c:v>
                </c:pt>
                <c:pt idx="1">
                  <c:v>2.3837965929771533E-2</c:v>
                </c:pt>
                <c:pt idx="2">
                  <c:v>2.0247934108661429E-2</c:v>
                </c:pt>
                <c:pt idx="3">
                  <c:v>1.4603343713995376E-2</c:v>
                </c:pt>
                <c:pt idx="4">
                  <c:v>1.0488153434169631E-2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C05-4560-B325-29506A3CB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414240"/>
        <c:axId val="328408752"/>
      </c:scatterChart>
      <c:valAx>
        <c:axId val="328414240"/>
        <c:scaling>
          <c:orientation val="minMax"/>
          <c:max val="2020"/>
          <c:min val="19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408752"/>
        <c:crosses val="autoZero"/>
        <c:crossBetween val="midCat"/>
        <c:majorUnit val="5"/>
      </c:valAx>
      <c:valAx>
        <c:axId val="328408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4142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052892523593172"/>
          <c:y val="0.13996590048936178"/>
          <c:w val="0.18811899377223254"/>
          <c:h val="0.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590316135856156E-2"/>
          <c:y val="2.0730269368853076E-2"/>
          <c:w val="0.8644494065107533"/>
          <c:h val="0.93555097257164255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Out_Mx_M!$L$1</c:f>
              <c:strCache>
                <c:ptCount val="1"/>
                <c:pt idx="0">
                  <c:v>2000-2005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Out_Mx_M!$A$2:$A$23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</c:numCache>
            </c:numRef>
          </c:xVal>
          <c:yVal>
            <c:numRef>
              <c:f>Out_Mx_M!$L$2:$L$23</c:f>
              <c:numCache>
                <c:formatCode>0.000000</c:formatCode>
                <c:ptCount val="22"/>
                <c:pt idx="0">
                  <c:v>1.7819258203423876E-2</c:v>
                </c:pt>
                <c:pt idx="1">
                  <c:v>8.3327789281969632E-4</c:v>
                </c:pt>
                <c:pt idx="2">
                  <c:v>3.8374749536798858E-4</c:v>
                </c:pt>
                <c:pt idx="3">
                  <c:v>4.6639139745056213E-4</c:v>
                </c:pt>
                <c:pt idx="4">
                  <c:v>1.603464640488022E-3</c:v>
                </c:pt>
                <c:pt idx="5">
                  <c:v>2.4504986470330289E-3</c:v>
                </c:pt>
                <c:pt idx="6">
                  <c:v>2.6473613503062085E-3</c:v>
                </c:pt>
                <c:pt idx="7">
                  <c:v>2.9515274369304231E-3</c:v>
                </c:pt>
                <c:pt idx="8">
                  <c:v>3.4249747012864875E-3</c:v>
                </c:pt>
                <c:pt idx="9">
                  <c:v>4.4081057711906537E-3</c:v>
                </c:pt>
                <c:pt idx="10">
                  <c:v>5.7618090014561569E-3</c:v>
                </c:pt>
                <c:pt idx="11">
                  <c:v>7.9218866826717468E-3</c:v>
                </c:pt>
                <c:pt idx="12">
                  <c:v>1.0827170550710193E-2</c:v>
                </c:pt>
                <c:pt idx="13">
                  <c:v>1.5624924562638441E-2</c:v>
                </c:pt>
                <c:pt idx="14">
                  <c:v>2.1187601204814541E-2</c:v>
                </c:pt>
                <c:pt idx="15">
                  <c:v>3.0672871704327732E-2</c:v>
                </c:pt>
                <c:pt idx="16">
                  <c:v>4.0224732820980186E-2</c:v>
                </c:pt>
                <c:pt idx="17">
                  <c:v>5.3360529387889197E-2</c:v>
                </c:pt>
                <c:pt idx="18">
                  <c:v>7.2818849647571057E-2</c:v>
                </c:pt>
                <c:pt idx="19">
                  <c:v>0.10516251021949115</c:v>
                </c:pt>
                <c:pt idx="20">
                  <c:v>0.16072059081178927</c:v>
                </c:pt>
                <c:pt idx="21">
                  <c:v>0.25994145298910282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587-49D1-9637-78DB8E179E90}"/>
            </c:ext>
          </c:extLst>
        </c:ser>
        <c:ser>
          <c:idx val="1"/>
          <c:order val="1"/>
          <c:tx>
            <c:strRef>
              <c:f>Out_Mx_M!$M$1</c:f>
              <c:strCache>
                <c:ptCount val="1"/>
                <c:pt idx="0">
                  <c:v>2005-2010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Out_Mx_M!$A$2:$A$23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</c:numCache>
            </c:numRef>
          </c:xVal>
          <c:yVal>
            <c:numRef>
              <c:f>Out_Mx_M!$M$2:$M$23</c:f>
              <c:numCache>
                <c:formatCode>0.000000</c:formatCode>
                <c:ptCount val="22"/>
                <c:pt idx="0">
                  <c:v>1.406421305389554E-2</c:v>
                </c:pt>
                <c:pt idx="1">
                  <c:v>6.5941686452931989E-4</c:v>
                </c:pt>
                <c:pt idx="2">
                  <c:v>3.4106219944604968E-4</c:v>
                </c:pt>
                <c:pt idx="3">
                  <c:v>4.3134163583727217E-4</c:v>
                </c:pt>
                <c:pt idx="4">
                  <c:v>1.6455779298365147E-3</c:v>
                </c:pt>
                <c:pt idx="5">
                  <c:v>2.5103020012225844E-3</c:v>
                </c:pt>
                <c:pt idx="6">
                  <c:v>2.6163453734504571E-3</c:v>
                </c:pt>
                <c:pt idx="7">
                  <c:v>2.8418743049159517E-3</c:v>
                </c:pt>
                <c:pt idx="8">
                  <c:v>3.2447452286248914E-3</c:v>
                </c:pt>
                <c:pt idx="9">
                  <c:v>4.1455040711362726E-3</c:v>
                </c:pt>
                <c:pt idx="10">
                  <c:v>5.497282463340524E-3</c:v>
                </c:pt>
                <c:pt idx="11">
                  <c:v>7.4368581903088548E-3</c:v>
                </c:pt>
                <c:pt idx="12">
                  <c:v>1.0267373509917568E-2</c:v>
                </c:pt>
                <c:pt idx="13">
                  <c:v>1.4788825689077632E-2</c:v>
                </c:pt>
                <c:pt idx="14">
                  <c:v>1.9786289875628704E-2</c:v>
                </c:pt>
                <c:pt idx="15">
                  <c:v>2.9529237789302044E-2</c:v>
                </c:pt>
                <c:pt idx="16">
                  <c:v>3.8093901364266901E-2</c:v>
                </c:pt>
                <c:pt idx="17">
                  <c:v>5.1940279732499463E-2</c:v>
                </c:pt>
                <c:pt idx="18">
                  <c:v>7.2594271192113924E-2</c:v>
                </c:pt>
                <c:pt idx="19">
                  <c:v>0.10661023058304903</c:v>
                </c:pt>
                <c:pt idx="20">
                  <c:v>0.16451059901431922</c:v>
                </c:pt>
                <c:pt idx="21">
                  <c:v>0.26673951222137537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587-49D1-9637-78DB8E179E90}"/>
            </c:ext>
          </c:extLst>
        </c:ser>
        <c:ser>
          <c:idx val="2"/>
          <c:order val="2"/>
          <c:tx>
            <c:strRef>
              <c:f>Out_Mx_M!$N$1</c:f>
              <c:strCache>
                <c:ptCount val="1"/>
                <c:pt idx="0">
                  <c:v>2010-2015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Out_Mx_M!$A$2:$A$23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</c:numCache>
            </c:numRef>
          </c:xVal>
          <c:yVal>
            <c:numRef>
              <c:f>Out_Mx_M!$N$2:$N$23</c:f>
              <c:numCache>
                <c:formatCode>0.000000</c:formatCode>
                <c:ptCount val="22"/>
                <c:pt idx="0">
                  <c:v>1.1100467065871414E-2</c:v>
                </c:pt>
                <c:pt idx="1">
                  <c:v>5.2183143819437385E-4</c:v>
                </c:pt>
                <c:pt idx="2">
                  <c:v>3.031249071200594E-4</c:v>
                </c:pt>
                <c:pt idx="3">
                  <c:v>3.9892589748398172E-4</c:v>
                </c:pt>
                <c:pt idx="4">
                  <c:v>1.6887972798332858E-3</c:v>
                </c:pt>
                <c:pt idx="5">
                  <c:v>2.571564830273165E-3</c:v>
                </c:pt>
                <c:pt idx="6">
                  <c:v>2.5856927738194284E-3</c:v>
                </c:pt>
                <c:pt idx="7">
                  <c:v>2.7362949311902037E-3</c:v>
                </c:pt>
                <c:pt idx="8">
                  <c:v>3.0739998151604847E-3</c:v>
                </c:pt>
                <c:pt idx="9">
                  <c:v>3.8985462000757768E-3</c:v>
                </c:pt>
                <c:pt idx="10">
                  <c:v>5.2449004252160796E-3</c:v>
                </c:pt>
                <c:pt idx="11">
                  <c:v>6.9815262396698439E-3</c:v>
                </c:pt>
                <c:pt idx="12">
                  <c:v>9.7365196473461185E-3</c:v>
                </c:pt>
                <c:pt idx="13">
                  <c:v>1.3997466956409483E-2</c:v>
                </c:pt>
                <c:pt idx="14">
                  <c:v>1.847765885613542E-2</c:v>
                </c:pt>
                <c:pt idx="15">
                  <c:v>2.8428244111688906E-2</c:v>
                </c:pt>
                <c:pt idx="16">
                  <c:v>3.6075946796435041E-2</c:v>
                </c:pt>
                <c:pt idx="17">
                  <c:v>5.0557831596449436E-2</c:v>
                </c:pt>
                <c:pt idx="18">
                  <c:v>7.2370385352413594E-2</c:v>
                </c:pt>
                <c:pt idx="19">
                  <c:v>0.10807788099816892</c:v>
                </c:pt>
                <c:pt idx="20">
                  <c:v>0.1683899807196636</c:v>
                </c:pt>
                <c:pt idx="21">
                  <c:v>0.27371535613859937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87-49D1-9637-78DB8E179E90}"/>
            </c:ext>
          </c:extLst>
        </c:ser>
        <c:ser>
          <c:idx val="3"/>
          <c:order val="3"/>
          <c:tx>
            <c:strRef>
              <c:f>Out_Mx_M!$O$1</c:f>
              <c:strCache>
                <c:ptCount val="1"/>
                <c:pt idx="0">
                  <c:v>2015-2020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Out_Mx_M!$A$2:$A$23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</c:numCache>
            </c:numRef>
          </c:xVal>
          <c:yVal>
            <c:numRef>
              <c:f>Out_Mx_M!$O$2:$O$23</c:f>
              <c:numCache>
                <c:formatCode>0.000000</c:formatCode>
                <c:ptCount val="22"/>
                <c:pt idx="0">
                  <c:v>8.7612700837439335E-3</c:v>
                </c:pt>
                <c:pt idx="1">
                  <c:v>4.1295281412369897E-4</c:v>
                </c:pt>
                <c:pt idx="2">
                  <c:v>2.6940748481005223E-4</c:v>
                </c:pt>
                <c:pt idx="3">
                  <c:v>3.6894623301201153E-4</c:v>
                </c:pt>
                <c:pt idx="4">
                  <c:v>1.7331517399821034E-3</c:v>
                </c:pt>
                <c:pt idx="5">
                  <c:v>2.6343227520342857E-3</c:v>
                </c:pt>
                <c:pt idx="6">
                  <c:v>2.5553992941553861E-3</c:v>
                </c:pt>
                <c:pt idx="7">
                  <c:v>2.6346379702668235E-3</c:v>
                </c:pt>
                <c:pt idx="8">
                  <c:v>2.9122393894732189E-3</c:v>
                </c:pt>
                <c:pt idx="9">
                  <c:v>3.6663002166487713E-3</c:v>
                </c:pt>
                <c:pt idx="10">
                  <c:v>5.0041053291111906E-3</c:v>
                </c:pt>
                <c:pt idx="11">
                  <c:v>6.5540726188264582E-3</c:v>
                </c:pt>
                <c:pt idx="12">
                  <c:v>9.2331125142751328E-3</c:v>
                </c:pt>
                <c:pt idx="13">
                  <c:v>1.324845429346563E-2</c:v>
                </c:pt>
                <c:pt idx="14">
                  <c:v>1.7255578430813375E-2</c:v>
                </c:pt>
                <c:pt idx="15">
                  <c:v>2.736830083594503E-2</c:v>
                </c:pt>
                <c:pt idx="16">
                  <c:v>3.4164889671290763E-2</c:v>
                </c:pt>
                <c:pt idx="17">
                  <c:v>4.9212178850387915E-2</c:v>
                </c:pt>
                <c:pt idx="18">
                  <c:v>7.2147189992394306E-2</c:v>
                </c:pt>
                <c:pt idx="19">
                  <c:v>0.10956573583203194</c:v>
                </c:pt>
                <c:pt idx="20">
                  <c:v>0.17236084347550518</c:v>
                </c:pt>
                <c:pt idx="21">
                  <c:v>0.28087363421397343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587-49D1-9637-78DB8E179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411888"/>
        <c:axId val="328414632"/>
      </c:scatterChart>
      <c:valAx>
        <c:axId val="328411888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4632"/>
        <c:crosses val="autoZero"/>
        <c:crossBetween val="midCat"/>
      </c:valAx>
      <c:valAx>
        <c:axId val="3284146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1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7561405570572"/>
          <c:y val="0.43427540066402154"/>
          <c:w val="0.1654362064433732"/>
          <c:h val="0.27314299114732959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Out_Mx_M!$A$2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Out_Mx_M!$J$2:$O$2</c:f>
              <c:numCache>
                <c:formatCode>0.000000</c:formatCode>
                <c:ptCount val="6"/>
                <c:pt idx="0">
                  <c:v>2.8604738975040799E-2</c:v>
                </c:pt>
                <c:pt idx="1">
                  <c:v>2.2576873779108442E-2</c:v>
                </c:pt>
                <c:pt idx="2">
                  <c:v>1.7819258203423876E-2</c:v>
                </c:pt>
                <c:pt idx="3">
                  <c:v>1.406421305389554E-2</c:v>
                </c:pt>
                <c:pt idx="4">
                  <c:v>1.1100467065871414E-2</c:v>
                </c:pt>
                <c:pt idx="5">
                  <c:v>8.7612700837439335E-3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87-4085-8626-6BA67D628401}"/>
            </c:ext>
          </c:extLst>
        </c:ser>
        <c:ser>
          <c:idx val="1"/>
          <c:order val="1"/>
          <c:tx>
            <c:strRef>
              <c:f>Out_Mx_M!$A$3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Out_Mx_M!$J$3:$O$3</c:f>
              <c:numCache>
                <c:formatCode>0.000000</c:formatCode>
                <c:ptCount val="6"/>
                <c:pt idx="0">
                  <c:v>1.3306060076882496E-3</c:v>
                </c:pt>
                <c:pt idx="1">
                  <c:v>1.0529789030458746E-3</c:v>
                </c:pt>
                <c:pt idx="2">
                  <c:v>8.3327789281969632E-4</c:v>
                </c:pt>
                <c:pt idx="3">
                  <c:v>6.5941686452931989E-4</c:v>
                </c:pt>
                <c:pt idx="4">
                  <c:v>5.2183143819437385E-4</c:v>
                </c:pt>
                <c:pt idx="5">
                  <c:v>4.1295281412369897E-4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87-4085-8626-6BA67D628401}"/>
            </c:ext>
          </c:extLst>
        </c:ser>
        <c:ser>
          <c:idx val="2"/>
          <c:order val="2"/>
          <c:tx>
            <c:strRef>
              <c:f>Out_Mx_M!$A$4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Out_Mx_M!$J$4:$O$4</c:f>
              <c:numCache>
                <c:formatCode>0.000000</c:formatCode>
                <c:ptCount val="6"/>
                <c:pt idx="0">
                  <c:v>4.8581339488172718E-4</c:v>
                </c:pt>
                <c:pt idx="1">
                  <c:v>4.3177502649190147E-4</c:v>
                </c:pt>
                <c:pt idx="2">
                  <c:v>3.8374749536798858E-4</c:v>
                </c:pt>
                <c:pt idx="3">
                  <c:v>3.4106219944604968E-4</c:v>
                </c:pt>
                <c:pt idx="4">
                  <c:v>3.031249071200594E-4</c:v>
                </c:pt>
                <c:pt idx="5">
                  <c:v>2.6940748481005223E-4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87-4085-8626-6BA67D628401}"/>
            </c:ext>
          </c:extLst>
        </c:ser>
        <c:ser>
          <c:idx val="3"/>
          <c:order val="3"/>
          <c:tx>
            <c:strRef>
              <c:f>Out_Mx_M!$A$5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Out_Mx_M!$J$5:$O$5</c:f>
              <c:numCache>
                <c:formatCode>0.000000</c:formatCode>
                <c:ptCount val="6"/>
                <c:pt idx="0">
                  <c:v>5.4526651939066555E-4</c:v>
                </c:pt>
                <c:pt idx="1">
                  <c:v>5.04289216582723E-4</c:v>
                </c:pt>
                <c:pt idx="2">
                  <c:v>4.6639139745056213E-4</c:v>
                </c:pt>
                <c:pt idx="3">
                  <c:v>4.3134163583727217E-4</c:v>
                </c:pt>
                <c:pt idx="4">
                  <c:v>3.9892589748398172E-4</c:v>
                </c:pt>
                <c:pt idx="5">
                  <c:v>3.6894623301201153E-4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87-4085-8626-6BA67D628401}"/>
            </c:ext>
          </c:extLst>
        </c:ser>
        <c:ser>
          <c:idx val="4"/>
          <c:order val="4"/>
          <c:tx>
            <c:strRef>
              <c:f>Out_Mx_M!$A$6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Out_Mx_M!$J$6:$O$6</c:f>
              <c:numCache>
                <c:formatCode>0.000000</c:formatCode>
                <c:ptCount val="6"/>
                <c:pt idx="0">
                  <c:v>1.522443743839518E-3</c:v>
                </c:pt>
                <c:pt idx="1">
                  <c:v>1.5624291057129188E-3</c:v>
                </c:pt>
                <c:pt idx="2">
                  <c:v>1.603464640488022E-3</c:v>
                </c:pt>
                <c:pt idx="3">
                  <c:v>1.6455779298365147E-3</c:v>
                </c:pt>
                <c:pt idx="4">
                  <c:v>1.6887972798332858E-3</c:v>
                </c:pt>
                <c:pt idx="5">
                  <c:v>1.7331517399821034E-3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A87-4085-8626-6BA67D628401}"/>
            </c:ext>
          </c:extLst>
        </c:ser>
        <c:ser>
          <c:idx val="5"/>
          <c:order val="5"/>
          <c:tx>
            <c:strRef>
              <c:f>Out_Mx_M!$A$7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Out_Mx_M!$J$7:$O$7</c:f>
              <c:numCache>
                <c:formatCode>0.000000</c:formatCode>
                <c:ptCount val="6"/>
                <c:pt idx="0">
                  <c:v>2.3351321142748805E-3</c:v>
                </c:pt>
                <c:pt idx="1">
                  <c:v>2.3921199983851071E-3</c:v>
                </c:pt>
                <c:pt idx="2">
                  <c:v>2.4504986470330289E-3</c:v>
                </c:pt>
                <c:pt idx="3">
                  <c:v>2.5103020012225844E-3</c:v>
                </c:pt>
                <c:pt idx="4">
                  <c:v>2.571564830273165E-3</c:v>
                </c:pt>
                <c:pt idx="5">
                  <c:v>2.6343227520342857E-3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BA87-4085-8626-6BA67D628401}"/>
            </c:ext>
          </c:extLst>
        </c:ser>
        <c:ser>
          <c:idx val="6"/>
          <c:order val="6"/>
          <c:tx>
            <c:strRef>
              <c:f>Out_Mx_M!$A$8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Out_Mx_M!$J$8:$O$8</c:f>
              <c:numCache>
                <c:formatCode>0.000000</c:formatCode>
                <c:ptCount val="6"/>
                <c:pt idx="0">
                  <c:v>2.7105007176635894E-3</c:v>
                </c:pt>
                <c:pt idx="1">
                  <c:v>2.6787450121129163E-3</c:v>
                </c:pt>
                <c:pt idx="2">
                  <c:v>2.6473613503062085E-3</c:v>
                </c:pt>
                <c:pt idx="3">
                  <c:v>2.6163453734504571E-3</c:v>
                </c:pt>
                <c:pt idx="4">
                  <c:v>2.5856927738194284E-3</c:v>
                </c:pt>
                <c:pt idx="5">
                  <c:v>2.5553992941553861E-3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BA87-4085-8626-6BA67D628401}"/>
            </c:ext>
          </c:extLst>
        </c:ser>
        <c:ser>
          <c:idx val="7"/>
          <c:order val="7"/>
          <c:tx>
            <c:strRef>
              <c:f>Out_Mx_M!$A$9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Out_Mx_M!$J$9:$O$9</c:f>
              <c:numCache>
                <c:formatCode>0.000000</c:formatCode>
                <c:ptCount val="6"/>
                <c:pt idx="0">
                  <c:v>3.1836897812633903E-3</c:v>
                </c:pt>
                <c:pt idx="1">
                  <c:v>3.0654115123542407E-3</c:v>
                </c:pt>
                <c:pt idx="2">
                  <c:v>2.9515274369304231E-3</c:v>
                </c:pt>
                <c:pt idx="3">
                  <c:v>2.8418743049159517E-3</c:v>
                </c:pt>
                <c:pt idx="4">
                  <c:v>2.7362949311902037E-3</c:v>
                </c:pt>
                <c:pt idx="5">
                  <c:v>2.6346379702668235E-3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BA87-4085-8626-6BA67D628401}"/>
            </c:ext>
          </c:extLst>
        </c:ser>
        <c:ser>
          <c:idx val="8"/>
          <c:order val="8"/>
          <c:tx>
            <c:strRef>
              <c:f>Out_Mx_M!$A$10</c:f>
              <c:strCache>
                <c:ptCount val="1"/>
                <c:pt idx="0">
                  <c:v>35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Out_Mx_M!$J$10:$O$10</c:f>
              <c:numCache>
                <c:formatCode>0.000000</c:formatCode>
                <c:ptCount val="6"/>
                <c:pt idx="0">
                  <c:v>3.8160222543279663E-3</c:v>
                </c:pt>
                <c:pt idx="1">
                  <c:v>3.6152150255025655E-3</c:v>
                </c:pt>
                <c:pt idx="2">
                  <c:v>3.4249747012864875E-3</c:v>
                </c:pt>
                <c:pt idx="3">
                  <c:v>3.2447452286248914E-3</c:v>
                </c:pt>
                <c:pt idx="4">
                  <c:v>3.0739998151604847E-3</c:v>
                </c:pt>
                <c:pt idx="5">
                  <c:v>2.9122393894732189E-3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BA87-4085-8626-6BA67D628401}"/>
            </c:ext>
          </c:extLst>
        </c:ser>
        <c:ser>
          <c:idx val="9"/>
          <c:order val="9"/>
          <c:tx>
            <c:strRef>
              <c:f>Out_Mx_M!$A$11</c:f>
              <c:strCache>
                <c:ptCount val="1"/>
                <c:pt idx="0">
                  <c:v>40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Out_Mx_M!$J$11:$O$11</c:f>
              <c:numCache>
                <c:formatCode>0.000000</c:formatCode>
                <c:ptCount val="6"/>
                <c:pt idx="0">
                  <c:v>4.9842673378159884E-3</c:v>
                </c:pt>
                <c:pt idx="1">
                  <c:v>4.6873422764914163E-3</c:v>
                </c:pt>
                <c:pt idx="2">
                  <c:v>4.4081057711906537E-3</c:v>
                </c:pt>
                <c:pt idx="3">
                  <c:v>4.1455040711362726E-3</c:v>
                </c:pt>
                <c:pt idx="4">
                  <c:v>3.8985462000757768E-3</c:v>
                </c:pt>
                <c:pt idx="5">
                  <c:v>3.6663002166487713E-3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BA87-4085-8626-6BA67D628401}"/>
            </c:ext>
          </c:extLst>
        </c:ser>
        <c:ser>
          <c:idx val="10"/>
          <c:order val="10"/>
          <c:tx>
            <c:strRef>
              <c:f>Out_Mx_M!$A$12</c:f>
              <c:strCache>
                <c:ptCount val="1"/>
                <c:pt idx="0">
                  <c:v>45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Out_Mx_M!$J$12:$O$12</c:f>
              <c:numCache>
                <c:formatCode>0.000000</c:formatCode>
                <c:ptCount val="6"/>
                <c:pt idx="0">
                  <c:v>6.3296612476477117E-3</c:v>
                </c:pt>
                <c:pt idx="1">
                  <c:v>6.0390644269509818E-3</c:v>
                </c:pt>
                <c:pt idx="2">
                  <c:v>5.7618090014561569E-3</c:v>
                </c:pt>
                <c:pt idx="3">
                  <c:v>5.497282463340524E-3</c:v>
                </c:pt>
                <c:pt idx="4">
                  <c:v>5.2449004252160796E-3</c:v>
                </c:pt>
                <c:pt idx="5">
                  <c:v>5.0041053291111906E-3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BA87-4085-8626-6BA67D628401}"/>
            </c:ext>
          </c:extLst>
        </c:ser>
        <c:ser>
          <c:idx val="11"/>
          <c:order val="11"/>
          <c:tx>
            <c:strRef>
              <c:f>Out_Mx_M!$A$13</c:f>
              <c:strCache>
                <c:ptCount val="1"/>
                <c:pt idx="0">
                  <c:v>50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Out_Mx_M!$J$13:$O$13</c:f>
              <c:numCache>
                <c:formatCode>0.000000</c:formatCode>
                <c:ptCount val="6"/>
                <c:pt idx="0">
                  <c:v>8.9889067889630577E-3</c:v>
                </c:pt>
                <c:pt idx="1">
                  <c:v>8.4385485116377744E-3</c:v>
                </c:pt>
                <c:pt idx="2">
                  <c:v>7.9218866826717468E-3</c:v>
                </c:pt>
                <c:pt idx="3">
                  <c:v>7.4368581903088548E-3</c:v>
                </c:pt>
                <c:pt idx="4">
                  <c:v>6.9815262396698439E-3</c:v>
                </c:pt>
                <c:pt idx="5">
                  <c:v>6.5540726188264582E-3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BA87-4085-8626-6BA67D628401}"/>
            </c:ext>
          </c:extLst>
        </c:ser>
        <c:ser>
          <c:idx val="12"/>
          <c:order val="12"/>
          <c:tx>
            <c:strRef>
              <c:f>Out_Mx_M!$A$14</c:f>
              <c:strCache>
                <c:ptCount val="1"/>
                <c:pt idx="0">
                  <c:v>55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Out_Mx_M!$J$14:$O$14</c:f>
              <c:numCache>
                <c:formatCode>0.000000</c:formatCode>
                <c:ptCount val="6"/>
                <c:pt idx="0">
                  <c:v>1.2039992356623929E-2</c:v>
                </c:pt>
                <c:pt idx="1">
                  <c:v>1.141748880772013E-2</c:v>
                </c:pt>
                <c:pt idx="2">
                  <c:v>1.0827170550710193E-2</c:v>
                </c:pt>
                <c:pt idx="3">
                  <c:v>1.0267373509917568E-2</c:v>
                </c:pt>
                <c:pt idx="4">
                  <c:v>9.7365196473461185E-3</c:v>
                </c:pt>
                <c:pt idx="5">
                  <c:v>9.2331125142751328E-3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BA87-4085-8626-6BA67D628401}"/>
            </c:ext>
          </c:extLst>
        </c:ser>
        <c:ser>
          <c:idx val="13"/>
          <c:order val="13"/>
          <c:tx>
            <c:strRef>
              <c:f>Out_Mx_M!$A$15</c:f>
              <c:strCache>
                <c:ptCount val="1"/>
                <c:pt idx="0">
                  <c:v>60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Out_Mx_M!$J$15:$O$15</c:f>
              <c:numCache>
                <c:formatCode>0.000000</c:formatCode>
                <c:ptCount val="6"/>
                <c:pt idx="0">
                  <c:v>1.7441603423564465E-2</c:v>
                </c:pt>
                <c:pt idx="1">
                  <c:v>1.6508292999115659E-2</c:v>
                </c:pt>
                <c:pt idx="2">
                  <c:v>1.5624924562638441E-2</c:v>
                </c:pt>
                <c:pt idx="3">
                  <c:v>1.4788825689077632E-2</c:v>
                </c:pt>
                <c:pt idx="4">
                  <c:v>1.3997466956409483E-2</c:v>
                </c:pt>
                <c:pt idx="5">
                  <c:v>1.324845429346563E-2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BA87-4085-8626-6BA67D628401}"/>
            </c:ext>
          </c:extLst>
        </c:ser>
        <c:ser>
          <c:idx val="14"/>
          <c:order val="14"/>
          <c:tx>
            <c:strRef>
              <c:f>Out_Mx_M!$A$16</c:f>
              <c:strCache>
                <c:ptCount val="1"/>
                <c:pt idx="0">
                  <c:v>65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Out_Mx_M!$J$16:$O$16</c:f>
              <c:numCache>
                <c:formatCode>0.000000</c:formatCode>
                <c:ptCount val="6"/>
                <c:pt idx="0">
                  <c:v>2.4294985003752174E-2</c:v>
                </c:pt>
                <c:pt idx="1">
                  <c:v>2.2688156680004894E-2</c:v>
                </c:pt>
                <c:pt idx="2">
                  <c:v>2.1187601204814541E-2</c:v>
                </c:pt>
                <c:pt idx="3">
                  <c:v>1.9786289875628704E-2</c:v>
                </c:pt>
                <c:pt idx="4">
                  <c:v>1.847765885613542E-2</c:v>
                </c:pt>
                <c:pt idx="5">
                  <c:v>1.7255578430813375E-2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BA87-4085-8626-6BA67D628401}"/>
            </c:ext>
          </c:extLst>
        </c:ser>
        <c:ser>
          <c:idx val="15"/>
          <c:order val="15"/>
          <c:tx>
            <c:strRef>
              <c:f>Out_Mx_M!$A$17</c:f>
              <c:strCache>
                <c:ptCount val="1"/>
                <c:pt idx="0">
                  <c:v>70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Out_Mx_M!$J$17:$O$17</c:f>
              <c:numCache>
                <c:formatCode>0.000000</c:formatCode>
                <c:ptCount val="6"/>
                <c:pt idx="0">
                  <c:v>3.3094729836068475E-2</c:v>
                </c:pt>
                <c:pt idx="1">
                  <c:v>3.186079726483812E-2</c:v>
                </c:pt>
                <c:pt idx="2">
                  <c:v>3.0672871704327732E-2</c:v>
                </c:pt>
                <c:pt idx="3">
                  <c:v>2.9529237789302044E-2</c:v>
                </c:pt>
                <c:pt idx="4">
                  <c:v>2.8428244111688906E-2</c:v>
                </c:pt>
                <c:pt idx="5">
                  <c:v>2.736830083594503E-2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BA87-4085-8626-6BA67D628401}"/>
            </c:ext>
          </c:extLst>
        </c:ser>
        <c:ser>
          <c:idx val="16"/>
          <c:order val="16"/>
          <c:tx>
            <c:strRef>
              <c:f>Out_Mx_M!$A$18</c:f>
              <c:strCache>
                <c:ptCount val="1"/>
                <c:pt idx="0">
                  <c:v>75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Out_Mx_M!$J$18:$O$18</c:f>
              <c:numCache>
                <c:formatCode>0.000000</c:formatCode>
                <c:ptCount val="6"/>
                <c:pt idx="0">
                  <c:v>4.4850635234863219E-2</c:v>
                </c:pt>
                <c:pt idx="1">
                  <c:v>4.2474755080796081E-2</c:v>
                </c:pt>
                <c:pt idx="2">
                  <c:v>4.0224732820980186E-2</c:v>
                </c:pt>
                <c:pt idx="3">
                  <c:v>3.8093901364266901E-2</c:v>
                </c:pt>
                <c:pt idx="4">
                  <c:v>3.6075946796435041E-2</c:v>
                </c:pt>
                <c:pt idx="5">
                  <c:v>3.4164889671290763E-2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BA87-4085-8626-6BA67D628401}"/>
            </c:ext>
          </c:extLst>
        </c:ser>
        <c:ser>
          <c:idx val="17"/>
          <c:order val="17"/>
          <c:tx>
            <c:strRef>
              <c:f>Out_Mx_M!$A$19</c:f>
              <c:strCache>
                <c:ptCount val="1"/>
                <c:pt idx="0">
                  <c:v>80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Out_Mx_M!$J$19:$O$19</c:f>
              <c:numCache>
                <c:formatCode>0.000000</c:formatCode>
                <c:ptCount val="6"/>
                <c:pt idx="0">
                  <c:v>5.6318596083850793E-2</c:v>
                </c:pt>
                <c:pt idx="1">
                  <c:v>5.481961420346719E-2</c:v>
                </c:pt>
                <c:pt idx="2">
                  <c:v>5.3360529387889197E-2</c:v>
                </c:pt>
                <c:pt idx="3">
                  <c:v>5.1940279732499463E-2</c:v>
                </c:pt>
                <c:pt idx="4">
                  <c:v>5.0557831596449436E-2</c:v>
                </c:pt>
                <c:pt idx="5">
                  <c:v>4.9212178850387915E-2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BA87-4085-8626-6BA67D628401}"/>
            </c:ext>
          </c:extLst>
        </c:ser>
        <c:ser>
          <c:idx val="18"/>
          <c:order val="18"/>
          <c:tx>
            <c:strRef>
              <c:f>Out_Mx_M!$A$20</c:f>
              <c:strCache>
                <c:ptCount val="1"/>
                <c:pt idx="0">
                  <c:v>85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Out_Mx_M!$J$20:$O$20</c:f>
              <c:numCache>
                <c:formatCode>0.000000</c:formatCode>
                <c:ptCount val="6"/>
                <c:pt idx="0">
                  <c:v>7.3270092983119831E-2</c:v>
                </c:pt>
                <c:pt idx="1">
                  <c:v>7.304412286146883E-2</c:v>
                </c:pt>
                <c:pt idx="2">
                  <c:v>7.2818849647571057E-2</c:v>
                </c:pt>
                <c:pt idx="3">
                  <c:v>7.2594271192113924E-2</c:v>
                </c:pt>
                <c:pt idx="4">
                  <c:v>7.2370385352413594E-2</c:v>
                </c:pt>
                <c:pt idx="5">
                  <c:v>7.2147189992394306E-2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BA87-4085-8626-6BA67D628401}"/>
            </c:ext>
          </c:extLst>
        </c:ser>
        <c:ser>
          <c:idx val="19"/>
          <c:order val="19"/>
          <c:tx>
            <c:strRef>
              <c:f>Out_Mx_M!$A$21</c:f>
              <c:strCache>
                <c:ptCount val="1"/>
                <c:pt idx="0">
                  <c:v>90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Out_Mx_M!$J$21:$O$21</c:f>
              <c:numCache>
                <c:formatCode>0.000000</c:formatCode>
                <c:ptCount val="6"/>
                <c:pt idx="0">
                  <c:v>0.10232578075667437</c:v>
                </c:pt>
                <c:pt idx="1">
                  <c:v>0.10373444926610051</c:v>
                </c:pt>
                <c:pt idx="2">
                  <c:v>0.10516251021949115</c:v>
                </c:pt>
                <c:pt idx="3">
                  <c:v>0.10661023058304903</c:v>
                </c:pt>
                <c:pt idx="4">
                  <c:v>0.10807788099816892</c:v>
                </c:pt>
                <c:pt idx="5">
                  <c:v>0.10956573583203194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BA87-4085-8626-6BA67D628401}"/>
            </c:ext>
          </c:extLst>
        </c:ser>
        <c:ser>
          <c:idx val="20"/>
          <c:order val="20"/>
          <c:tx>
            <c:strRef>
              <c:f>Out_Mx_M!$A$22</c:f>
              <c:strCache>
                <c:ptCount val="1"/>
                <c:pt idx="0">
                  <c:v>95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Out_Mx_M!$J$22:$O$22</c:f>
              <c:numCache>
                <c:formatCode>0.000000</c:formatCode>
                <c:ptCount val="6"/>
                <c:pt idx="0">
                  <c:v>0.15340050637510522</c:v>
                </c:pt>
                <c:pt idx="1">
                  <c:v>0.15701789711824116</c:v>
                </c:pt>
                <c:pt idx="2">
                  <c:v>0.16072059081178927</c:v>
                </c:pt>
                <c:pt idx="3">
                  <c:v>0.16451059901431922</c:v>
                </c:pt>
                <c:pt idx="4">
                  <c:v>0.1683899807196636</c:v>
                </c:pt>
                <c:pt idx="5">
                  <c:v>0.17236084347550518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BA87-4085-8626-6BA67D628401}"/>
            </c:ext>
          </c:extLst>
        </c:ser>
        <c:ser>
          <c:idx val="21"/>
          <c:order val="21"/>
          <c:tx>
            <c:strRef>
              <c:f>Out_Mx_M!$A$23</c:f>
              <c:strCache>
                <c:ptCount val="1"/>
                <c:pt idx="0">
                  <c:v>100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Out_Mx_M!$J$1:$O$1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Out_Mx_M!$J$23:$O$23</c:f>
              <c:numCache>
                <c:formatCode>0.000000</c:formatCode>
                <c:ptCount val="6"/>
                <c:pt idx="0">
                  <c:v>0.24686068014346696</c:v>
                </c:pt>
                <c:pt idx="1">
                  <c:v>0.25331664746394178</c:v>
                </c:pt>
                <c:pt idx="2">
                  <c:v>0.25994145298910282</c:v>
                </c:pt>
                <c:pt idx="3">
                  <c:v>0.26673951222137537</c:v>
                </c:pt>
                <c:pt idx="4">
                  <c:v>0.27371535613859937</c:v>
                </c:pt>
                <c:pt idx="5">
                  <c:v>0.28087363421397343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BA87-4085-8626-6BA67D628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412672"/>
        <c:axId val="328413064"/>
      </c:lineChart>
      <c:catAx>
        <c:axId val="32841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3064"/>
        <c:crosses val="autoZero"/>
        <c:auto val="1"/>
        <c:lblAlgn val="ctr"/>
        <c:lblOffset val="100"/>
        <c:noMultiLvlLbl val="0"/>
      </c:catAx>
      <c:valAx>
        <c:axId val="3284130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590316135856156E-2"/>
          <c:y val="2.0730269368853076E-2"/>
          <c:w val="0.8644494065107533"/>
          <c:h val="0.93555097257164255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Out_Mx_F!$L$1</c:f>
              <c:strCache>
                <c:ptCount val="1"/>
                <c:pt idx="0">
                  <c:v>2000-2005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Out_Mx_F!$A$2:$A$23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</c:numCache>
            </c:numRef>
          </c:xVal>
          <c:yVal>
            <c:numRef>
              <c:f>Out_Mx_F!$L$2:$L$23</c:f>
              <c:numCache>
                <c:formatCode>0.000000</c:formatCode>
                <c:ptCount val="22"/>
                <c:pt idx="0">
                  <c:v>1.5190355776068956E-2</c:v>
                </c:pt>
                <c:pt idx="1">
                  <c:v>7.5494166047261049E-4</c:v>
                </c:pt>
                <c:pt idx="2">
                  <c:v>2.8552683051198853E-4</c:v>
                </c:pt>
                <c:pt idx="3">
                  <c:v>3.0377998168053385E-4</c:v>
                </c:pt>
                <c:pt idx="4">
                  <c:v>4.8555139788194497E-4</c:v>
                </c:pt>
                <c:pt idx="5">
                  <c:v>6.1086379941769655E-4</c:v>
                </c:pt>
                <c:pt idx="6">
                  <c:v>7.860901355658651E-4</c:v>
                </c:pt>
                <c:pt idx="7">
                  <c:v>1.0476322808224937E-3</c:v>
                </c:pt>
                <c:pt idx="8">
                  <c:v>1.4016017425587395E-3</c:v>
                </c:pt>
                <c:pt idx="9">
                  <c:v>2.0280738231020982E-3</c:v>
                </c:pt>
                <c:pt idx="10">
                  <c:v>2.9414381622429428E-3</c:v>
                </c:pt>
                <c:pt idx="11">
                  <c:v>4.2495791315684765E-3</c:v>
                </c:pt>
                <c:pt idx="12">
                  <c:v>6.1319148803758473E-3</c:v>
                </c:pt>
                <c:pt idx="13">
                  <c:v>9.320780831047773E-3</c:v>
                </c:pt>
                <c:pt idx="14">
                  <c:v>1.3310715960098382E-2</c:v>
                </c:pt>
                <c:pt idx="15">
                  <c:v>2.0459053019906991E-2</c:v>
                </c:pt>
                <c:pt idx="16">
                  <c:v>2.9617828339401464E-2</c:v>
                </c:pt>
                <c:pt idx="17">
                  <c:v>4.4269497085776127E-2</c:v>
                </c:pt>
                <c:pt idx="18">
                  <c:v>6.7142337367957217E-2</c:v>
                </c:pt>
                <c:pt idx="19">
                  <c:v>0.10485021020000863</c:v>
                </c:pt>
                <c:pt idx="20">
                  <c:v>0.16858663298208162</c:v>
                </c:pt>
                <c:pt idx="21">
                  <c:v>0.27909878797861354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1BE-408A-8516-4BD68BF9B647}"/>
            </c:ext>
          </c:extLst>
        </c:ser>
        <c:ser>
          <c:idx val="1"/>
          <c:order val="1"/>
          <c:tx>
            <c:strRef>
              <c:f>Out_Mx_F!$M$1</c:f>
              <c:strCache>
                <c:ptCount val="1"/>
                <c:pt idx="0">
                  <c:v>2005-2010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Out_Mx_F!$A$2:$A$23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</c:numCache>
            </c:numRef>
          </c:xVal>
          <c:yVal>
            <c:numRef>
              <c:f>Out_Mx_F!$M$2:$M$23</c:f>
              <c:numCache>
                <c:formatCode>0.000000</c:formatCode>
                <c:ptCount val="22"/>
                <c:pt idx="0">
                  <c:v>1.1929912692068294E-2</c:v>
                </c:pt>
                <c:pt idx="1">
                  <c:v>5.7909480073247506E-4</c:v>
                </c:pt>
                <c:pt idx="2">
                  <c:v>2.5342666868011677E-4</c:v>
                </c:pt>
                <c:pt idx="3">
                  <c:v>2.8048807883051299E-4</c:v>
                </c:pt>
                <c:pt idx="4">
                  <c:v>4.4923183066057989E-4</c:v>
                </c:pt>
                <c:pt idx="5">
                  <c:v>5.6559479844782413E-4</c:v>
                </c:pt>
                <c:pt idx="6">
                  <c:v>7.2511674736672736E-4</c:v>
                </c:pt>
                <c:pt idx="7">
                  <c:v>9.6527071763905892E-4</c:v>
                </c:pt>
                <c:pt idx="8">
                  <c:v>1.2718159412078562E-3</c:v>
                </c:pt>
                <c:pt idx="9">
                  <c:v>1.8572667158462063E-3</c:v>
                </c:pt>
                <c:pt idx="10">
                  <c:v>2.767093887935819E-3</c:v>
                </c:pt>
                <c:pt idx="11">
                  <c:v>3.9449239838080198E-3</c:v>
                </c:pt>
                <c:pt idx="12">
                  <c:v>5.784048562734301E-3</c:v>
                </c:pt>
                <c:pt idx="13">
                  <c:v>8.7377096661770005E-3</c:v>
                </c:pt>
                <c:pt idx="14">
                  <c:v>1.230230945531257E-2</c:v>
                </c:pt>
                <c:pt idx="15">
                  <c:v>1.9367486196743524E-2</c:v>
                </c:pt>
                <c:pt idx="16">
                  <c:v>2.7280270755112173E-2</c:v>
                </c:pt>
                <c:pt idx="17">
                  <c:v>4.2647836411112486E-2</c:v>
                </c:pt>
                <c:pt idx="18">
                  <c:v>6.7247591159376091E-2</c:v>
                </c:pt>
                <c:pt idx="19">
                  <c:v>0.10787461623795559</c:v>
                </c:pt>
                <c:pt idx="20">
                  <c:v>0.17604536606497118</c:v>
                </c:pt>
                <c:pt idx="21">
                  <c:v>0.2922757171390119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1BE-408A-8516-4BD68BF9B647}"/>
            </c:ext>
          </c:extLst>
        </c:ser>
        <c:ser>
          <c:idx val="2"/>
          <c:order val="2"/>
          <c:tx>
            <c:strRef>
              <c:f>Out_Mx_F!$N$1</c:f>
              <c:strCache>
                <c:ptCount val="1"/>
                <c:pt idx="0">
                  <c:v>2010-2015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Out_Mx_F!$A$2:$A$23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</c:numCache>
            </c:numRef>
          </c:xVal>
          <c:yVal>
            <c:numRef>
              <c:f>Out_Mx_F!$N$2:$N$23</c:f>
              <c:numCache>
                <c:formatCode>0.000000</c:formatCode>
                <c:ptCount val="22"/>
                <c:pt idx="0">
                  <c:v>9.3692879178372494E-3</c:v>
                </c:pt>
                <c:pt idx="1">
                  <c:v>4.4420755376706531E-4</c:v>
                </c:pt>
                <c:pt idx="2">
                  <c:v>2.2493534594677969E-4</c:v>
                </c:pt>
                <c:pt idx="3">
                  <c:v>2.5898204987308233E-4</c:v>
                </c:pt>
                <c:pt idx="4">
                  <c:v>4.1562899120253999E-4</c:v>
                </c:pt>
                <c:pt idx="5">
                  <c:v>5.2368052638931256E-4</c:v>
                </c:pt>
                <c:pt idx="6">
                  <c:v>6.688727838229519E-4</c:v>
                </c:pt>
                <c:pt idx="7">
                  <c:v>8.8938416216032565E-4</c:v>
                </c:pt>
                <c:pt idx="8">
                  <c:v>1.1540480717136641E-3</c:v>
                </c:pt>
                <c:pt idx="9">
                  <c:v>1.7008452130770899E-3</c:v>
                </c:pt>
                <c:pt idx="10">
                  <c:v>2.6030833090209178E-3</c:v>
                </c:pt>
                <c:pt idx="11">
                  <c:v>3.6621097657451567E-3</c:v>
                </c:pt>
                <c:pt idx="12">
                  <c:v>5.4559168593707186E-3</c:v>
                </c:pt>
                <c:pt idx="13">
                  <c:v>8.1911131260684993E-3</c:v>
                </c:pt>
                <c:pt idx="14">
                  <c:v>1.1370298816980732E-2</c:v>
                </c:pt>
                <c:pt idx="15">
                  <c:v>1.8334158536862533E-2</c:v>
                </c:pt>
                <c:pt idx="16">
                  <c:v>2.5127202573531713E-2</c:v>
                </c:pt>
                <c:pt idx="17">
                  <c:v>4.1085579694407882E-2</c:v>
                </c:pt>
                <c:pt idx="18">
                  <c:v>6.7353009948932382E-2</c:v>
                </c:pt>
                <c:pt idx="19">
                  <c:v>0.11098626131781691</c:v>
                </c:pt>
                <c:pt idx="20">
                  <c:v>0.18383409387056038</c:v>
                </c:pt>
                <c:pt idx="21">
                  <c:v>0.30607476101139336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1BE-408A-8516-4BD68BF9B647}"/>
            </c:ext>
          </c:extLst>
        </c:ser>
        <c:ser>
          <c:idx val="3"/>
          <c:order val="3"/>
          <c:tx>
            <c:strRef>
              <c:f>Out_Mx_F!$O$1</c:f>
              <c:strCache>
                <c:ptCount val="1"/>
                <c:pt idx="0">
                  <c:v>2015-2020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Out_Mx_F!$A$2:$A$23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</c:numCache>
            </c:numRef>
          </c:xVal>
          <c:yVal>
            <c:numRef>
              <c:f>Out_Mx_F!$O$2:$O$23</c:f>
              <c:numCache>
                <c:formatCode>0.000000</c:formatCode>
                <c:ptCount val="22"/>
                <c:pt idx="0">
                  <c:v>7.3582731368767394E-3</c:v>
                </c:pt>
                <c:pt idx="1">
                  <c:v>3.4073928927377242E-4</c:v>
                </c:pt>
                <c:pt idx="2">
                  <c:v>1.9964714100417441E-4</c:v>
                </c:pt>
                <c:pt idx="3">
                  <c:v>2.3912496543923453E-4</c:v>
                </c:pt>
                <c:pt idx="4">
                  <c:v>3.8453966646580207E-4</c:v>
                </c:pt>
                <c:pt idx="5">
                  <c:v>4.8487237589877897E-4</c:v>
                </c:pt>
                <c:pt idx="6">
                  <c:v>6.16991405265114E-4</c:v>
                </c:pt>
                <c:pt idx="7">
                  <c:v>8.1946356959457863E-4</c:v>
                </c:pt>
                <c:pt idx="8">
                  <c:v>1.0471852951938765E-3</c:v>
                </c:pt>
                <c:pt idx="9">
                  <c:v>1.5575977398212294E-3</c:v>
                </c:pt>
                <c:pt idx="10">
                  <c:v>2.4487939289830332E-3</c:v>
                </c:pt>
                <c:pt idx="11">
                  <c:v>3.399570686637265E-3</c:v>
                </c:pt>
                <c:pt idx="12">
                  <c:v>5.1464002166492539E-3</c:v>
                </c:pt>
                <c:pt idx="13">
                  <c:v>7.6787095025334364E-3</c:v>
                </c:pt>
                <c:pt idx="14">
                  <c:v>1.0508896370803295E-2</c:v>
                </c:pt>
                <c:pt idx="15">
                  <c:v>1.7355962763578911E-2</c:v>
                </c:pt>
                <c:pt idx="16">
                  <c:v>2.314406315241508E-2</c:v>
                </c:pt>
                <c:pt idx="17">
                  <c:v>3.9580550876097964E-2</c:v>
                </c:pt>
                <c:pt idx="18">
                  <c:v>6.7458593995280772E-2</c:v>
                </c:pt>
                <c:pt idx="19">
                  <c:v>0.11418766185119168</c:v>
                </c:pt>
                <c:pt idx="20">
                  <c:v>0.19196741626665517</c:v>
                </c:pt>
                <c:pt idx="21">
                  <c:v>0.32052529113674111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1BE-408A-8516-4BD68BF9B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408360"/>
        <c:axId val="328409928"/>
      </c:scatterChart>
      <c:valAx>
        <c:axId val="3284083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09928"/>
        <c:crosses val="autoZero"/>
        <c:crossBetween val="midCat"/>
      </c:valAx>
      <c:valAx>
        <c:axId val="32840992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08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7561405570572"/>
          <c:y val="0.43427540066402154"/>
          <c:w val="0.1654362064433732"/>
          <c:h val="0.27314299114732959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Out_Mx_F!$A$2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Out_Mx_F!$J$2:$O$2</c:f>
              <c:numCache>
                <c:formatCode>0.000000</c:formatCode>
                <c:ptCount val="6"/>
                <c:pt idx="0">
                  <c:v>2.4628009153636509E-2</c:v>
                </c:pt>
                <c:pt idx="1">
                  <c:v>1.9341877393366486E-2</c:v>
                </c:pt>
                <c:pt idx="2">
                  <c:v>1.5190355776068956E-2</c:v>
                </c:pt>
                <c:pt idx="3">
                  <c:v>1.1929912692068294E-2</c:v>
                </c:pt>
                <c:pt idx="4">
                  <c:v>9.3692879178372494E-3</c:v>
                </c:pt>
                <c:pt idx="5">
                  <c:v>7.3582731368767394E-3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DC0-4AD9-A7A0-DC31B6F05635}"/>
            </c:ext>
          </c:extLst>
        </c:ser>
        <c:ser>
          <c:idx val="1"/>
          <c:order val="1"/>
          <c:tx>
            <c:strRef>
              <c:f>Out_Mx_F!$A$3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Out_Mx_F!$J$3:$O$3</c:f>
              <c:numCache>
                <c:formatCode>0.000000</c:formatCode>
                <c:ptCount val="6"/>
                <c:pt idx="0">
                  <c:v>1.2830419156176871E-3</c:v>
                </c:pt>
                <c:pt idx="1">
                  <c:v>9.8418585350144947E-4</c:v>
                </c:pt>
                <c:pt idx="2">
                  <c:v>7.5494166047261049E-4</c:v>
                </c:pt>
                <c:pt idx="3">
                  <c:v>5.7909480073247506E-4</c:v>
                </c:pt>
                <c:pt idx="4">
                  <c:v>4.4420755376706531E-4</c:v>
                </c:pt>
                <c:pt idx="5">
                  <c:v>3.4073928927377242E-4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DC0-4AD9-A7A0-DC31B6F05635}"/>
            </c:ext>
          </c:extLst>
        </c:ser>
        <c:ser>
          <c:idx val="2"/>
          <c:order val="2"/>
          <c:tx>
            <c:strRef>
              <c:f>Out_Mx_F!$A$4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Out_Mx_F!$J$4:$O$4</c:f>
              <c:numCache>
                <c:formatCode>0.000000</c:formatCode>
                <c:ptCount val="6"/>
                <c:pt idx="0">
                  <c:v>3.6244001848207081E-4</c:v>
                </c:pt>
                <c:pt idx="1">
                  <c:v>3.2169294323608065E-4</c:v>
                </c:pt>
                <c:pt idx="2">
                  <c:v>2.8552683051198853E-4</c:v>
                </c:pt>
                <c:pt idx="3">
                  <c:v>2.5342666868011677E-4</c:v>
                </c:pt>
                <c:pt idx="4">
                  <c:v>2.2493534594677969E-4</c:v>
                </c:pt>
                <c:pt idx="5">
                  <c:v>1.9964714100417441E-4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DC0-4AD9-A7A0-DC31B6F05635}"/>
            </c:ext>
          </c:extLst>
        </c:ser>
        <c:ser>
          <c:idx val="3"/>
          <c:order val="3"/>
          <c:tx>
            <c:strRef>
              <c:f>Out_Mx_F!$A$5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Out_Mx_F!$J$5:$O$5</c:f>
              <c:numCache>
                <c:formatCode>0.000000</c:formatCode>
                <c:ptCount val="6"/>
                <c:pt idx="0">
                  <c:v>3.5632692426000085E-4</c:v>
                </c:pt>
                <c:pt idx="1">
                  <c:v>3.2900605849130491E-4</c:v>
                </c:pt>
                <c:pt idx="2">
                  <c:v>3.0377998168053385E-4</c:v>
                </c:pt>
                <c:pt idx="3">
                  <c:v>2.8048807883051299E-4</c:v>
                </c:pt>
                <c:pt idx="4">
                  <c:v>2.5898204987308233E-4</c:v>
                </c:pt>
                <c:pt idx="5">
                  <c:v>2.3912496543923453E-4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DC0-4AD9-A7A0-DC31B6F05635}"/>
            </c:ext>
          </c:extLst>
        </c:ser>
        <c:ser>
          <c:idx val="4"/>
          <c:order val="4"/>
          <c:tx>
            <c:strRef>
              <c:f>Out_Mx_F!$A$6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Out_Mx_F!$J$6:$O$6</c:f>
              <c:numCache>
                <c:formatCode>0.000000</c:formatCode>
                <c:ptCount val="6"/>
                <c:pt idx="0">
                  <c:v>5.6723704307292332E-4</c:v>
                </c:pt>
                <c:pt idx="1">
                  <c:v>5.2480733530932942E-4</c:v>
                </c:pt>
                <c:pt idx="2">
                  <c:v>4.8555139788194497E-4</c:v>
                </c:pt>
                <c:pt idx="3">
                  <c:v>4.4923183066057989E-4</c:v>
                </c:pt>
                <c:pt idx="4">
                  <c:v>4.1562899120253999E-4</c:v>
                </c:pt>
                <c:pt idx="5">
                  <c:v>3.8453966646580207E-4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DC0-4AD9-A7A0-DC31B6F05635}"/>
            </c:ext>
          </c:extLst>
        </c:ser>
        <c:ser>
          <c:idx val="5"/>
          <c:order val="5"/>
          <c:tx>
            <c:strRef>
              <c:f>Out_Mx_F!$A$7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Out_Mx_F!$J$7:$O$7</c:f>
              <c:numCache>
                <c:formatCode>0.000000</c:formatCode>
                <c:ptCount val="6"/>
                <c:pt idx="0">
                  <c:v>7.1256150006543308E-4</c:v>
                </c:pt>
                <c:pt idx="1">
                  <c:v>6.5975603464367351E-4</c:v>
                </c:pt>
                <c:pt idx="2">
                  <c:v>6.1086379941769655E-4</c:v>
                </c:pt>
                <c:pt idx="3">
                  <c:v>5.6559479844782413E-4</c:v>
                </c:pt>
                <c:pt idx="4">
                  <c:v>5.2368052638931256E-4</c:v>
                </c:pt>
                <c:pt idx="5">
                  <c:v>4.8487237589877897E-4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DC0-4AD9-A7A0-DC31B6F05635}"/>
            </c:ext>
          </c:extLst>
        </c:ser>
        <c:ser>
          <c:idx val="6"/>
          <c:order val="6"/>
          <c:tx>
            <c:strRef>
              <c:f>Out_Mx_F!$A$8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Out_Mx_F!$J$8:$O$8</c:f>
              <c:numCache>
                <c:formatCode>0.000000</c:formatCode>
                <c:ptCount val="6"/>
                <c:pt idx="0">
                  <c:v>9.2384937192709266E-4</c:v>
                </c:pt>
                <c:pt idx="1">
                  <c:v>8.5219063478813716E-4</c:v>
                </c:pt>
                <c:pt idx="2">
                  <c:v>7.860901355658651E-4</c:v>
                </c:pt>
                <c:pt idx="3">
                  <c:v>7.2511674736672736E-4</c:v>
                </c:pt>
                <c:pt idx="4">
                  <c:v>6.688727838229519E-4</c:v>
                </c:pt>
                <c:pt idx="5">
                  <c:v>6.16991405265114E-4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CDC0-4AD9-A7A0-DC31B6F05635}"/>
            </c:ext>
          </c:extLst>
        </c:ser>
        <c:ser>
          <c:idx val="7"/>
          <c:order val="7"/>
          <c:tx>
            <c:strRef>
              <c:f>Out_Mx_F!$A$9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Out_Mx_F!$J$9:$O$9</c:f>
              <c:numCache>
                <c:formatCode>0.000000</c:formatCode>
                <c:ptCount val="6"/>
                <c:pt idx="0">
                  <c:v>1.2340374862932317E-3</c:v>
                </c:pt>
                <c:pt idx="1">
                  <c:v>1.1370213306643971E-3</c:v>
                </c:pt>
                <c:pt idx="2">
                  <c:v>1.0476322808224937E-3</c:v>
                </c:pt>
                <c:pt idx="3">
                  <c:v>9.6527071763905892E-4</c:v>
                </c:pt>
                <c:pt idx="4">
                  <c:v>8.8938416216032565E-4</c:v>
                </c:pt>
                <c:pt idx="5">
                  <c:v>8.1946356959457863E-4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CDC0-4AD9-A7A0-DC31B6F05635}"/>
            </c:ext>
          </c:extLst>
        </c:ser>
        <c:ser>
          <c:idx val="8"/>
          <c:order val="8"/>
          <c:tx>
            <c:strRef>
              <c:f>Out_Mx_F!$A$10</c:f>
              <c:strCache>
                <c:ptCount val="1"/>
                <c:pt idx="0">
                  <c:v>35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Out_Mx_F!$J$10:$O$10</c:f>
              <c:numCache>
                <c:formatCode>0.000000</c:formatCode>
                <c:ptCount val="6"/>
                <c:pt idx="0">
                  <c:v>1.7022578979977816E-3</c:v>
                </c:pt>
                <c:pt idx="1">
                  <c:v>1.5446318772180212E-3</c:v>
                </c:pt>
                <c:pt idx="2">
                  <c:v>1.4016017425587395E-3</c:v>
                </c:pt>
                <c:pt idx="3">
                  <c:v>1.2718159412078562E-3</c:v>
                </c:pt>
                <c:pt idx="4">
                  <c:v>1.1540480717136641E-3</c:v>
                </c:pt>
                <c:pt idx="5">
                  <c:v>1.0471852951938765E-3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CDC0-4AD9-A7A0-DC31B6F05635}"/>
            </c:ext>
          </c:extLst>
        </c:ser>
        <c:ser>
          <c:idx val="9"/>
          <c:order val="9"/>
          <c:tx>
            <c:strRef>
              <c:f>Out_Mx_F!$A$11</c:f>
              <c:strCache>
                <c:ptCount val="1"/>
                <c:pt idx="0">
                  <c:v>40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Out_Mx_F!$J$11:$O$11</c:f>
              <c:numCache>
                <c:formatCode>0.000000</c:formatCode>
                <c:ptCount val="6"/>
                <c:pt idx="0">
                  <c:v>2.4182585224852777E-3</c:v>
                </c:pt>
                <c:pt idx="1">
                  <c:v>2.2145895346420167E-3</c:v>
                </c:pt>
                <c:pt idx="2">
                  <c:v>2.0280738231020982E-3</c:v>
                </c:pt>
                <c:pt idx="3">
                  <c:v>1.8572667158462063E-3</c:v>
                </c:pt>
                <c:pt idx="4">
                  <c:v>1.7008452130770899E-3</c:v>
                </c:pt>
                <c:pt idx="5">
                  <c:v>1.5575977398212294E-3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DC0-4AD9-A7A0-DC31B6F05635}"/>
            </c:ext>
          </c:extLst>
        </c:ser>
        <c:ser>
          <c:idx val="10"/>
          <c:order val="10"/>
          <c:tx>
            <c:strRef>
              <c:f>Out_Mx_F!$A$12</c:f>
              <c:strCache>
                <c:ptCount val="1"/>
                <c:pt idx="0">
                  <c:v>45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Out_Mx_F!$J$12:$O$12</c:f>
              <c:numCache>
                <c:formatCode>0.000000</c:formatCode>
                <c:ptCount val="6"/>
                <c:pt idx="0">
                  <c:v>3.3237731701923059E-3</c:v>
                </c:pt>
                <c:pt idx="1">
                  <c:v>3.126767219580451E-3</c:v>
                </c:pt>
                <c:pt idx="2">
                  <c:v>2.9414381622429428E-3</c:v>
                </c:pt>
                <c:pt idx="3">
                  <c:v>2.767093887935819E-3</c:v>
                </c:pt>
                <c:pt idx="4">
                  <c:v>2.6030833090209178E-3</c:v>
                </c:pt>
                <c:pt idx="5">
                  <c:v>2.4487939289830332E-3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CDC0-4AD9-A7A0-DC31B6F05635}"/>
            </c:ext>
          </c:extLst>
        </c:ser>
        <c:ser>
          <c:idx val="11"/>
          <c:order val="11"/>
          <c:tx>
            <c:strRef>
              <c:f>Out_Mx_F!$A$13</c:f>
              <c:strCache>
                <c:ptCount val="1"/>
                <c:pt idx="0">
                  <c:v>50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Out_Mx_F!$J$13:$O$13</c:f>
              <c:numCache>
                <c:formatCode>0.000000</c:formatCode>
                <c:ptCount val="6"/>
                <c:pt idx="0">
                  <c:v>4.9312893251815702E-3</c:v>
                </c:pt>
                <c:pt idx="1">
                  <c:v>4.5777619212905791E-3</c:v>
                </c:pt>
                <c:pt idx="2">
                  <c:v>4.2495791315684765E-3</c:v>
                </c:pt>
                <c:pt idx="3">
                  <c:v>3.9449239838080198E-3</c:v>
                </c:pt>
                <c:pt idx="4">
                  <c:v>3.6621097657451567E-3</c:v>
                </c:pt>
                <c:pt idx="5">
                  <c:v>3.399570686637265E-3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CDC0-4AD9-A7A0-DC31B6F05635}"/>
            </c:ext>
          </c:extLst>
        </c:ser>
        <c:ser>
          <c:idx val="12"/>
          <c:order val="12"/>
          <c:tx>
            <c:strRef>
              <c:f>Out_Mx_F!$A$14</c:f>
              <c:strCache>
                <c:ptCount val="1"/>
                <c:pt idx="0">
                  <c:v>55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Out_Mx_F!$J$14:$O$14</c:f>
              <c:numCache>
                <c:formatCode>0.000000</c:formatCode>
                <c:ptCount val="6"/>
                <c:pt idx="0">
                  <c:v>6.8916702855533517E-3</c:v>
                </c:pt>
                <c:pt idx="1">
                  <c:v>6.5007026985264222E-3</c:v>
                </c:pt>
                <c:pt idx="2">
                  <c:v>6.1319148803758473E-3</c:v>
                </c:pt>
                <c:pt idx="3">
                  <c:v>5.784048562734301E-3</c:v>
                </c:pt>
                <c:pt idx="4">
                  <c:v>5.4559168593707186E-3</c:v>
                </c:pt>
                <c:pt idx="5">
                  <c:v>5.1464002166492539E-3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CDC0-4AD9-A7A0-DC31B6F05635}"/>
            </c:ext>
          </c:extLst>
        </c:ser>
        <c:ser>
          <c:idx val="13"/>
          <c:order val="13"/>
          <c:tx>
            <c:strRef>
              <c:f>Out_Mx_F!$A$15</c:f>
              <c:strCache>
                <c:ptCount val="1"/>
                <c:pt idx="0">
                  <c:v>60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Out_Mx_F!$J$15:$O$15</c:f>
              <c:numCache>
                <c:formatCode>0.000000</c:formatCode>
                <c:ptCount val="6"/>
                <c:pt idx="0">
                  <c:v>1.0606245325063173E-2</c:v>
                </c:pt>
                <c:pt idx="1">
                  <c:v>9.942760588249059E-3</c:v>
                </c:pt>
                <c:pt idx="2">
                  <c:v>9.320780831047773E-3</c:v>
                </c:pt>
                <c:pt idx="3">
                  <c:v>8.7377096661770005E-3</c:v>
                </c:pt>
                <c:pt idx="4">
                  <c:v>8.1911131260684993E-3</c:v>
                </c:pt>
                <c:pt idx="5">
                  <c:v>7.6787095025334364E-3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CDC0-4AD9-A7A0-DC31B6F05635}"/>
            </c:ext>
          </c:extLst>
        </c:ser>
        <c:ser>
          <c:idx val="14"/>
          <c:order val="14"/>
          <c:tx>
            <c:strRef>
              <c:f>Out_Mx_F!$A$16</c:f>
              <c:strCache>
                <c:ptCount val="1"/>
                <c:pt idx="0">
                  <c:v>65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Out_Mx_F!$J$16:$O$16</c:f>
              <c:numCache>
                <c:formatCode>0.000000</c:formatCode>
                <c:ptCount val="6"/>
                <c:pt idx="0">
                  <c:v>1.5582278198864874E-2</c:v>
                </c:pt>
                <c:pt idx="1">
                  <c:v>1.4401780414807183E-2</c:v>
                </c:pt>
                <c:pt idx="2">
                  <c:v>1.3310715960098382E-2</c:v>
                </c:pt>
                <c:pt idx="3">
                  <c:v>1.230230945531257E-2</c:v>
                </c:pt>
                <c:pt idx="4">
                  <c:v>1.1370298816980732E-2</c:v>
                </c:pt>
                <c:pt idx="5">
                  <c:v>1.0508896370803295E-2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CDC0-4AD9-A7A0-DC31B6F05635}"/>
            </c:ext>
          </c:extLst>
        </c:ser>
        <c:ser>
          <c:idx val="15"/>
          <c:order val="15"/>
          <c:tx>
            <c:strRef>
              <c:f>Out_Mx_F!$A$17</c:f>
              <c:strCache>
                <c:ptCount val="1"/>
                <c:pt idx="0">
                  <c:v>70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Out_Mx_F!$J$17:$O$17</c:f>
              <c:numCache>
                <c:formatCode>0.000000</c:formatCode>
                <c:ptCount val="6"/>
                <c:pt idx="0">
                  <c:v>2.2830218776050484E-2</c:v>
                </c:pt>
                <c:pt idx="1">
                  <c:v>2.1612141411606878E-2</c:v>
                </c:pt>
                <c:pt idx="2">
                  <c:v>2.0459053019906991E-2</c:v>
                </c:pt>
                <c:pt idx="3">
                  <c:v>1.9367486196743524E-2</c:v>
                </c:pt>
                <c:pt idx="4">
                  <c:v>1.8334158536862533E-2</c:v>
                </c:pt>
                <c:pt idx="5">
                  <c:v>1.7355962763578911E-2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CDC0-4AD9-A7A0-DC31B6F05635}"/>
            </c:ext>
          </c:extLst>
        </c:ser>
        <c:ser>
          <c:idx val="16"/>
          <c:order val="16"/>
          <c:tx>
            <c:strRef>
              <c:f>Out_Mx_F!$A$18</c:f>
              <c:strCache>
                <c:ptCount val="1"/>
                <c:pt idx="0">
                  <c:v>75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Out_Mx_F!$J$18:$O$18</c:f>
              <c:numCache>
                <c:formatCode>0.000000</c:formatCode>
                <c:ptCount val="6"/>
                <c:pt idx="0">
                  <c:v>3.4910999462641611E-2</c:v>
                </c:pt>
                <c:pt idx="1">
                  <c:v>3.215568362267323E-2</c:v>
                </c:pt>
                <c:pt idx="2">
                  <c:v>2.9617828339401464E-2</c:v>
                </c:pt>
                <c:pt idx="3">
                  <c:v>2.7280270755112173E-2</c:v>
                </c:pt>
                <c:pt idx="4">
                  <c:v>2.5127202573531713E-2</c:v>
                </c:pt>
                <c:pt idx="5">
                  <c:v>2.314406315241508E-2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CDC0-4AD9-A7A0-DC31B6F05635}"/>
            </c:ext>
          </c:extLst>
        </c:ser>
        <c:ser>
          <c:idx val="17"/>
          <c:order val="17"/>
          <c:tx>
            <c:strRef>
              <c:f>Out_Mx_F!$A$19</c:f>
              <c:strCache>
                <c:ptCount val="1"/>
                <c:pt idx="0">
                  <c:v>80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Out_Mx_F!$J$19:$O$19</c:f>
              <c:numCache>
                <c:formatCode>0.000000</c:formatCode>
                <c:ptCount val="6"/>
                <c:pt idx="0">
                  <c:v>4.7700151410892365E-2</c:v>
                </c:pt>
                <c:pt idx="1">
                  <c:v>4.5952820521438932E-2</c:v>
                </c:pt>
                <c:pt idx="2">
                  <c:v>4.4269497085776127E-2</c:v>
                </c:pt>
                <c:pt idx="3">
                  <c:v>4.2647836411112486E-2</c:v>
                </c:pt>
                <c:pt idx="4">
                  <c:v>4.1085579694407882E-2</c:v>
                </c:pt>
                <c:pt idx="5">
                  <c:v>3.9580550876097964E-2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DC0-4AD9-A7A0-DC31B6F05635}"/>
            </c:ext>
          </c:extLst>
        </c:ser>
        <c:ser>
          <c:idx val="18"/>
          <c:order val="18"/>
          <c:tx>
            <c:strRef>
              <c:f>Out_Mx_F!$A$20</c:f>
              <c:strCache>
                <c:ptCount val="1"/>
                <c:pt idx="0">
                  <c:v>85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Out_Mx_F!$J$20:$O$20</c:f>
              <c:numCache>
                <c:formatCode>0.000000</c:formatCode>
                <c:ptCount val="6"/>
                <c:pt idx="0">
                  <c:v>6.6932323746936639E-2</c:v>
                </c:pt>
                <c:pt idx="1">
                  <c:v>6.7037248316425935E-2</c:v>
                </c:pt>
                <c:pt idx="2">
                  <c:v>6.7142337367957217E-2</c:v>
                </c:pt>
                <c:pt idx="3">
                  <c:v>6.7247591159376091E-2</c:v>
                </c:pt>
                <c:pt idx="4">
                  <c:v>6.7353009948932382E-2</c:v>
                </c:pt>
                <c:pt idx="5">
                  <c:v>6.7458593995280772E-2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DC0-4AD9-A7A0-DC31B6F05635}"/>
            </c:ext>
          </c:extLst>
        </c:ser>
        <c:ser>
          <c:idx val="19"/>
          <c:order val="19"/>
          <c:tx>
            <c:strRef>
              <c:f>Out_Mx_F!$A$21</c:f>
              <c:strCache>
                <c:ptCount val="1"/>
                <c:pt idx="0">
                  <c:v>90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Out_Mx_F!$J$21:$O$21</c:f>
              <c:numCache>
                <c:formatCode>0.000000</c:formatCode>
                <c:ptCount val="6"/>
                <c:pt idx="0">
                  <c:v>9.9053400379936651E-2</c:v>
                </c:pt>
                <c:pt idx="1">
                  <c:v>0.10191059734326934</c:v>
                </c:pt>
                <c:pt idx="2">
                  <c:v>0.10485021020000863</c:v>
                </c:pt>
                <c:pt idx="3">
                  <c:v>0.10787461623795559</c:v>
                </c:pt>
                <c:pt idx="4">
                  <c:v>0.11098626131781691</c:v>
                </c:pt>
                <c:pt idx="5">
                  <c:v>0.11418766185119168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DC0-4AD9-A7A0-DC31B6F05635}"/>
            </c:ext>
          </c:extLst>
        </c:ser>
        <c:ser>
          <c:idx val="20"/>
          <c:order val="20"/>
          <c:tx>
            <c:strRef>
              <c:f>Out_Mx_F!$A$22</c:f>
              <c:strCache>
                <c:ptCount val="1"/>
                <c:pt idx="0">
                  <c:v>95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Out_Mx_F!$J$22:$O$22</c:f>
              <c:numCache>
                <c:formatCode>0.000000</c:formatCode>
                <c:ptCount val="6"/>
                <c:pt idx="0">
                  <c:v>0.15460381815925259</c:v>
                </c:pt>
                <c:pt idx="1">
                  <c:v>0.16144391332485222</c:v>
                </c:pt>
                <c:pt idx="2">
                  <c:v>0.16858663298208162</c:v>
                </c:pt>
                <c:pt idx="3">
                  <c:v>0.17604536606497118</c:v>
                </c:pt>
                <c:pt idx="4">
                  <c:v>0.18383409387056038</c:v>
                </c:pt>
                <c:pt idx="5">
                  <c:v>0.19196741626665517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CDC0-4AD9-A7A0-DC31B6F05635}"/>
            </c:ext>
          </c:extLst>
        </c:ser>
        <c:ser>
          <c:idx val="21"/>
          <c:order val="21"/>
          <c:tx>
            <c:strRef>
              <c:f>Out_Mx_F!$A$23</c:f>
              <c:strCache>
                <c:ptCount val="1"/>
                <c:pt idx="0">
                  <c:v>100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Out_Mx_F!$J$1:$O$1</c:f>
              <c:strCache>
                <c:ptCount val="6"/>
                <c:pt idx="0">
                  <c:v>1990-1995</c:v>
                </c:pt>
                <c:pt idx="1">
                  <c:v>1995-2000</c:v>
                </c:pt>
                <c:pt idx="2">
                  <c:v>2000-2005</c:v>
                </c:pt>
                <c:pt idx="3">
                  <c:v>2005-2010</c:v>
                </c:pt>
                <c:pt idx="4">
                  <c:v>2010-2015</c:v>
                </c:pt>
                <c:pt idx="5">
                  <c:v>2015-2020</c:v>
                </c:pt>
              </c:strCache>
            </c:strRef>
          </c:cat>
          <c:val>
            <c:numRef>
              <c:f>Out_Mx_F!$J$23:$O$23</c:f>
              <c:numCache>
                <c:formatCode>0.000000</c:formatCode>
                <c:ptCount val="6"/>
                <c:pt idx="0">
                  <c:v>0.25450034884853334</c:v>
                </c:pt>
                <c:pt idx="1">
                  <c:v>0.26651592617282743</c:v>
                </c:pt>
                <c:pt idx="2">
                  <c:v>0.27909878797861354</c:v>
                </c:pt>
                <c:pt idx="3">
                  <c:v>0.2922757171390119</c:v>
                </c:pt>
                <c:pt idx="4">
                  <c:v>0.30607476101139336</c:v>
                </c:pt>
                <c:pt idx="5">
                  <c:v>0.32052529113674111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CDC0-4AD9-A7A0-DC31B6F05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5005560"/>
        <c:axId val="415002424"/>
      </c:lineChart>
      <c:catAx>
        <c:axId val="41500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02424"/>
        <c:crosses val="autoZero"/>
        <c:auto val="1"/>
        <c:lblAlgn val="ctr"/>
        <c:lblOffset val="100"/>
        <c:noMultiLvlLbl val="0"/>
      </c:catAx>
      <c:valAx>
        <c:axId val="4150024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0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491456</xdr:colOff>
      <xdr:row>2</xdr:row>
      <xdr:rowOff>67411</xdr:rowOff>
    </xdr:from>
    <xdr:to>
      <xdr:col>19</xdr:col>
      <xdr:colOff>500981</xdr:colOff>
      <xdr:row>25</xdr:row>
      <xdr:rowOff>115036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xmlns="" id="{00000000-0008-0000-00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</xdr:row>
          <xdr:rowOff>0</xdr:rowOff>
        </xdr:from>
        <xdr:to>
          <xdr:col>6</xdr:col>
          <xdr:colOff>0</xdr:colOff>
          <xdr:row>6</xdr:row>
          <xdr:rowOff>22860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493958</xdr:colOff>
      <xdr:row>26</xdr:row>
      <xdr:rowOff>55612</xdr:rowOff>
    </xdr:from>
    <xdr:to>
      <xdr:col>19</xdr:col>
      <xdr:colOff>505003</xdr:colOff>
      <xdr:row>49</xdr:row>
      <xdr:rowOff>104039</xdr:rowOff>
    </xdr:to>
    <xdr:graphicFrame macro="">
      <xdr:nvGraphicFramePr>
        <xdr:cNvPr id="2053" name="Chart 5">
          <a:extLst>
            <a:ext uri="{FF2B5EF4-FFF2-40B4-BE49-F238E27FC236}">
              <a16:creationId xmlns:a16="http://schemas.microsoft.com/office/drawing/2014/main" xmlns="" id="{00000000-0008-0000-0000-00000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9526</xdr:colOff>
      <xdr:row>0</xdr:row>
      <xdr:rowOff>138112</xdr:rowOff>
    </xdr:from>
    <xdr:to>
      <xdr:col>25</xdr:col>
      <xdr:colOff>523875</xdr:colOff>
      <xdr:row>22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533399</xdr:colOff>
      <xdr:row>23</xdr:row>
      <xdr:rowOff>61911</xdr:rowOff>
    </xdr:from>
    <xdr:to>
      <xdr:col>26</xdr:col>
      <xdr:colOff>9524</xdr:colOff>
      <xdr:row>56</xdr:row>
      <xdr:rowOff>38099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9526</xdr:colOff>
      <xdr:row>0</xdr:row>
      <xdr:rowOff>138112</xdr:rowOff>
    </xdr:from>
    <xdr:to>
      <xdr:col>25</xdr:col>
      <xdr:colOff>523875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533399</xdr:colOff>
      <xdr:row>23</xdr:row>
      <xdr:rowOff>61911</xdr:rowOff>
    </xdr:from>
    <xdr:to>
      <xdr:col>26</xdr:col>
      <xdr:colOff>9524</xdr:colOff>
      <xdr:row>56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6600"/>
  </sheetPr>
  <dimension ref="A1:AA93"/>
  <sheetViews>
    <sheetView tabSelected="1" zoomScaleNormal="100" workbookViewId="0">
      <selection activeCell="J17" sqref="J17"/>
    </sheetView>
  </sheetViews>
  <sheetFormatPr baseColWidth="10" defaultColWidth="9.140625" defaultRowHeight="10.199999999999999"/>
  <cols>
    <col min="1" max="1" width="11.140625" customWidth="1"/>
    <col min="4" max="4" width="12.7109375" bestFit="1" customWidth="1"/>
    <col min="5" max="6" width="10.42578125" customWidth="1"/>
    <col min="7" max="7" width="4.28515625" customWidth="1"/>
    <col min="9" max="9" width="10.42578125" bestFit="1" customWidth="1"/>
    <col min="10" max="10" width="10.28515625" bestFit="1" customWidth="1"/>
    <col min="25" max="25" width="9.28515625" style="24"/>
  </cols>
  <sheetData>
    <row r="1" spans="1:27">
      <c r="A1" s="3" t="s">
        <v>61</v>
      </c>
    </row>
    <row r="2" spans="1:27">
      <c r="A2" s="3" t="s">
        <v>49</v>
      </c>
    </row>
    <row r="3" spans="1:27">
      <c r="A3" s="3" t="s">
        <v>60</v>
      </c>
    </row>
    <row r="4" spans="1:27">
      <c r="A4" s="3"/>
    </row>
    <row r="5" spans="1:27">
      <c r="A5" s="2"/>
      <c r="B5" s="16" t="s">
        <v>52</v>
      </c>
      <c r="D5" s="16" t="s">
        <v>53</v>
      </c>
      <c r="H5" s="16" t="s">
        <v>31</v>
      </c>
    </row>
    <row r="6" spans="1:27" s="16" customFormat="1">
      <c r="A6" s="15" t="s">
        <v>16</v>
      </c>
      <c r="B6" s="17">
        <v>1</v>
      </c>
      <c r="D6" s="17">
        <v>1</v>
      </c>
      <c r="H6" s="17">
        <v>1</v>
      </c>
      <c r="Y6" s="38"/>
    </row>
    <row r="7" spans="1:27">
      <c r="A7" s="2"/>
      <c r="B7" s="51" t="s">
        <v>51</v>
      </c>
      <c r="D7" s="51" t="s">
        <v>54</v>
      </c>
      <c r="H7" s="51" t="s">
        <v>56</v>
      </c>
    </row>
    <row r="8" spans="1:27">
      <c r="A8" s="2"/>
      <c r="B8" s="51" t="s">
        <v>50</v>
      </c>
      <c r="D8" s="51" t="s">
        <v>55</v>
      </c>
      <c r="H8" s="51" t="s">
        <v>57</v>
      </c>
    </row>
    <row r="9" spans="1:27">
      <c r="A9" s="2"/>
    </row>
    <row r="10" spans="1:27">
      <c r="B10" s="16" t="s">
        <v>27</v>
      </c>
      <c r="C10" s="16"/>
      <c r="D10" s="16"/>
      <c r="E10" s="16" t="s">
        <v>28</v>
      </c>
      <c r="H10" s="23" t="s">
        <v>25</v>
      </c>
      <c r="W10" s="16" t="s">
        <v>27</v>
      </c>
      <c r="X10" s="16"/>
      <c r="Y10" s="38"/>
      <c r="Z10" s="16" t="s">
        <v>28</v>
      </c>
    </row>
    <row r="11" spans="1:27" ht="10.8" thickBot="1">
      <c r="B11" s="13" t="s">
        <v>29</v>
      </c>
      <c r="E11" s="13" t="s">
        <v>30</v>
      </c>
      <c r="H11" s="23" t="s">
        <v>26</v>
      </c>
      <c r="W11" s="13" t="s">
        <v>29</v>
      </c>
      <c r="Z11" s="13" t="s">
        <v>30</v>
      </c>
    </row>
    <row r="12" spans="1:27" ht="10.8" thickTop="1">
      <c r="B12" t="s">
        <v>12</v>
      </c>
      <c r="C12" t="s">
        <v>13</v>
      </c>
      <c r="E12" s="14" t="s">
        <v>14</v>
      </c>
      <c r="F12" s="14" t="s">
        <v>15</v>
      </c>
      <c r="G12" s="14"/>
      <c r="H12" s="5"/>
      <c r="I12" s="6" t="s">
        <v>23</v>
      </c>
      <c r="J12" s="7" t="s">
        <v>24</v>
      </c>
      <c r="W12" t="s">
        <v>17</v>
      </c>
      <c r="X12" t="s">
        <v>18</v>
      </c>
      <c r="Z12" t="s">
        <v>19</v>
      </c>
      <c r="AA12" t="s">
        <v>20</v>
      </c>
    </row>
    <row r="13" spans="1:27">
      <c r="A13">
        <v>1953</v>
      </c>
      <c r="B13" s="11">
        <v>55.25285629152151</v>
      </c>
      <c r="C13" s="11">
        <v>60.366636278395866</v>
      </c>
      <c r="D13" s="24">
        <v>1980.6710205078125</v>
      </c>
      <c r="E13" s="9">
        <v>67.915153459191188</v>
      </c>
      <c r="F13" s="9">
        <v>74.938276597196065</v>
      </c>
      <c r="G13" s="9"/>
      <c r="H13" s="25">
        <v>1988</v>
      </c>
      <c r="I13" s="18">
        <v>77</v>
      </c>
      <c r="J13" s="8">
        <v>82</v>
      </c>
      <c r="V13">
        <f>A13</f>
        <v>1953</v>
      </c>
      <c r="W13" s="12">
        <v>0.1899465727762599</v>
      </c>
      <c r="X13" s="12">
        <v>0.17016676747969792</v>
      </c>
      <c r="Y13" s="24">
        <v>1980.6710205078125</v>
      </c>
      <c r="Z13" s="10">
        <v>5.8872060440669928E-2</v>
      </c>
      <c r="AA13" s="10">
        <v>4.5268937969766367E-2</v>
      </c>
    </row>
    <row r="14" spans="1:27">
      <c r="A14">
        <f>5+A13</f>
        <v>1958</v>
      </c>
      <c r="B14" s="11">
        <v>58.40998706501329</v>
      </c>
      <c r="C14" s="11">
        <v>63.903088073466066</v>
      </c>
      <c r="D14" s="24">
        <v>1991.66796875</v>
      </c>
      <c r="E14" s="9">
        <v>71.053320228969312</v>
      </c>
      <c r="F14" s="9">
        <v>78.602447639956068</v>
      </c>
      <c r="G14" s="9"/>
      <c r="H14" s="25">
        <v>1995</v>
      </c>
      <c r="I14" s="18">
        <v>78</v>
      </c>
      <c r="J14" s="8">
        <v>84</v>
      </c>
      <c r="V14">
        <f t="shared" ref="V14:V26" si="0">A14</f>
        <v>1958</v>
      </c>
      <c r="W14" s="12">
        <v>0.14991920751612942</v>
      </c>
      <c r="X14" s="12">
        <v>0.13364233919540461</v>
      </c>
      <c r="Y14" s="24">
        <v>1991.66796875</v>
      </c>
      <c r="Z14" s="10">
        <v>3.0824658577031126E-2</v>
      </c>
      <c r="AA14" s="10">
        <v>2.3837965929771533E-2</v>
      </c>
    </row>
    <row r="15" spans="1:27">
      <c r="A15">
        <f t="shared" ref="A15:A26" si="1">5+A14</f>
        <v>1963</v>
      </c>
      <c r="B15" s="11">
        <v>61.166421343204647</v>
      </c>
      <c r="C15" s="11">
        <v>66.969334665562656</v>
      </c>
      <c r="D15" s="24">
        <v>1996.5860595703125</v>
      </c>
      <c r="E15" s="9">
        <v>71.517990161286875</v>
      </c>
      <c r="F15" s="9">
        <v>78.71120996053871</v>
      </c>
      <c r="G15" s="9"/>
      <c r="H15" s="25">
        <v>2001</v>
      </c>
      <c r="I15" s="18">
        <v>78.3</v>
      </c>
      <c r="J15" s="8">
        <v>83</v>
      </c>
      <c r="V15">
        <f t="shared" si="0"/>
        <v>1963</v>
      </c>
      <c r="W15" s="12">
        <v>0.11832679291738896</v>
      </c>
      <c r="X15" s="12">
        <v>0.10495747842039983</v>
      </c>
      <c r="Y15" s="24">
        <v>1996.5860595703125</v>
      </c>
      <c r="Z15" s="10">
        <v>2.6198373658719944E-2</v>
      </c>
      <c r="AA15" s="10">
        <v>2.0247934108661429E-2</v>
      </c>
    </row>
    <row r="16" spans="1:27">
      <c r="A16">
        <f t="shared" si="1"/>
        <v>1968</v>
      </c>
      <c r="B16" s="11">
        <v>63.581120795237332</v>
      </c>
      <c r="C16" s="11">
        <v>69.638716246707432</v>
      </c>
      <c r="D16" s="24">
        <v>2000.5860595703125</v>
      </c>
      <c r="E16" s="9">
        <v>73.571504404606486</v>
      </c>
      <c r="F16" s="9">
        <v>80.637413054553264</v>
      </c>
      <c r="G16" s="9"/>
      <c r="H16" s="25">
        <v>2012</v>
      </c>
      <c r="I16" s="18">
        <v>78.900000000000006</v>
      </c>
      <c r="J16" s="8">
        <v>84.2</v>
      </c>
      <c r="V16">
        <f t="shared" si="0"/>
        <v>1968</v>
      </c>
      <c r="W16" s="12">
        <v>9.3391835203026283E-2</v>
      </c>
      <c r="X16" s="12">
        <v>8.2429508063770002E-2</v>
      </c>
      <c r="Y16" s="24">
        <v>2000.5860595703125</v>
      </c>
      <c r="Z16" s="10">
        <v>1.8484348361379445E-2</v>
      </c>
      <c r="AA16" s="10">
        <v>1.4603343713995376E-2</v>
      </c>
    </row>
    <row r="17" spans="1:27">
      <c r="A17">
        <f t="shared" si="1"/>
        <v>1973</v>
      </c>
      <c r="B17" s="11">
        <v>65.676676397400058</v>
      </c>
      <c r="C17" s="11">
        <v>71.922363655997387</v>
      </c>
      <c r="D17" s="24">
        <v>2010.7099609375</v>
      </c>
      <c r="E17" s="9">
        <v>75.195799390506664</v>
      </c>
      <c r="F17" s="9">
        <v>82.005883058639242</v>
      </c>
      <c r="G17" s="9"/>
      <c r="H17" s="25"/>
      <c r="I17" s="18"/>
      <c r="J17" s="8"/>
      <c r="V17">
        <f t="shared" si="0"/>
        <v>1973</v>
      </c>
      <c r="W17" s="12">
        <v>7.37114111482646E-2</v>
      </c>
      <c r="X17" s="12">
        <v>6.4736919197122239E-2</v>
      </c>
      <c r="Y17" s="24">
        <v>2010.7099609375</v>
      </c>
      <c r="Z17" s="10">
        <v>1.2949570813361316E-2</v>
      </c>
      <c r="AA17" s="10">
        <v>1.0488153434169631E-2</v>
      </c>
    </row>
    <row r="18" spans="1:27">
      <c r="A18">
        <f t="shared" si="1"/>
        <v>1978</v>
      </c>
      <c r="B18" s="11">
        <v>67.491573895181261</v>
      </c>
      <c r="C18" s="11">
        <v>73.886748763390884</v>
      </c>
      <c r="D18" s="24"/>
      <c r="E18" s="9"/>
      <c r="F18" s="9"/>
      <c r="G18" s="9"/>
      <c r="H18" s="25"/>
      <c r="I18" s="18"/>
      <c r="J18" s="8"/>
      <c r="V18">
        <f t="shared" si="0"/>
        <v>1978</v>
      </c>
      <c r="W18" s="12">
        <v>5.8178234978002015E-2</v>
      </c>
      <c r="X18" s="12">
        <v>5.0841850273964394E-2</v>
      </c>
      <c r="Z18" s="10"/>
      <c r="AA18" s="10"/>
    </row>
    <row r="19" spans="1:27">
      <c r="A19">
        <f t="shared" si="1"/>
        <v>1983</v>
      </c>
      <c r="B19" s="11">
        <v>69.073858971552099</v>
      </c>
      <c r="C19" s="11">
        <v>75.584867780152365</v>
      </c>
      <c r="D19" s="24"/>
      <c r="E19" s="9"/>
      <c r="F19" s="9"/>
      <c r="G19" s="9"/>
      <c r="H19" s="25"/>
      <c r="I19" s="18"/>
      <c r="J19" s="8"/>
      <c r="V19">
        <f t="shared" si="0"/>
        <v>1983</v>
      </c>
      <c r="W19" s="12">
        <v>4.5918358805362602E-2</v>
      </c>
      <c r="X19" s="12">
        <v>3.992920533350186E-2</v>
      </c>
      <c r="Z19" s="10"/>
      <c r="AA19" s="10"/>
    </row>
    <row r="20" spans="1:27">
      <c r="A20">
        <f t="shared" si="1"/>
        <v>1988</v>
      </c>
      <c r="B20" s="11">
        <v>70.462122506936282</v>
      </c>
      <c r="C20" s="11">
        <v>77.060060675499443</v>
      </c>
      <c r="D20" s="24"/>
      <c r="E20" s="9"/>
      <c r="F20" s="9"/>
      <c r="G20" s="9"/>
      <c r="H20" s="25"/>
      <c r="I20" s="18"/>
      <c r="J20" s="8"/>
      <c r="V20">
        <f t="shared" si="0"/>
        <v>1988</v>
      </c>
      <c r="W20" s="12">
        <v>3.6242001431897534E-2</v>
      </c>
      <c r="X20" s="12">
        <v>3.1358839813534475E-2</v>
      </c>
      <c r="Z20" s="10"/>
      <c r="AA20" s="10"/>
    </row>
    <row r="21" spans="1:27">
      <c r="A21">
        <f t="shared" si="1"/>
        <v>1993</v>
      </c>
      <c r="B21" s="11">
        <v>71.687994166514898</v>
      </c>
      <c r="C21" s="11">
        <v>78.348168711517019</v>
      </c>
      <c r="D21" s="24"/>
      <c r="E21" s="9"/>
      <c r="F21" s="9"/>
      <c r="G21" s="9"/>
      <c r="H21" s="25"/>
      <c r="I21" s="18"/>
      <c r="J21" s="8"/>
      <c r="V21">
        <f t="shared" si="0"/>
        <v>1993</v>
      </c>
      <c r="W21" s="12">
        <v>2.8604738975040799E-2</v>
      </c>
      <c r="X21" s="12">
        <v>2.4628009153636509E-2</v>
      </c>
      <c r="Z21" s="10"/>
      <c r="AA21" s="10"/>
    </row>
    <row r="22" spans="1:27">
      <c r="A22">
        <f t="shared" si="1"/>
        <v>1998</v>
      </c>
      <c r="B22" s="11">
        <v>72.777614937302801</v>
      </c>
      <c r="C22" s="11">
        <v>79.47892564450477</v>
      </c>
      <c r="D22" s="24"/>
      <c r="E22" s="9"/>
      <c r="F22" s="9"/>
      <c r="G22" s="9"/>
      <c r="H22" s="25"/>
      <c r="I22" s="18"/>
      <c r="J22" s="8"/>
      <c r="V22">
        <f t="shared" si="0"/>
        <v>1998</v>
      </c>
      <c r="W22" s="12">
        <v>2.2576873779108442E-2</v>
      </c>
      <c r="X22" s="12">
        <v>1.9341877393366486E-2</v>
      </c>
      <c r="Z22" s="10"/>
      <c r="AA22" s="10"/>
    </row>
    <row r="23" spans="1:27">
      <c r="A23">
        <f t="shared" si="1"/>
        <v>2003</v>
      </c>
      <c r="B23" s="11">
        <v>73.752624007002368</v>
      </c>
      <c r="C23" s="11">
        <v>80.47698098650126</v>
      </c>
      <c r="D23" s="24"/>
      <c r="E23" s="9"/>
      <c r="F23" s="9"/>
      <c r="G23" s="9"/>
      <c r="H23" s="25"/>
      <c r="I23" s="18"/>
      <c r="J23" s="8"/>
      <c r="V23">
        <f t="shared" si="0"/>
        <v>2003</v>
      </c>
      <c r="W23" s="12">
        <v>1.7819258203423876E-2</v>
      </c>
      <c r="X23" s="12">
        <v>1.5190355776068956E-2</v>
      </c>
      <c r="Z23" s="10"/>
      <c r="AA23" s="10"/>
    </row>
    <row r="24" spans="1:27">
      <c r="A24">
        <f t="shared" si="1"/>
        <v>2008</v>
      </c>
      <c r="B24" s="11">
        <v>74.630902932896561</v>
      </c>
      <c r="C24" s="11">
        <v>81.362726577006711</v>
      </c>
      <c r="D24" s="24"/>
      <c r="E24" s="9"/>
      <c r="F24" s="9"/>
      <c r="G24" s="9"/>
      <c r="H24" s="25"/>
      <c r="I24" s="18"/>
      <c r="J24" s="8"/>
      <c r="V24">
        <f t="shared" si="0"/>
        <v>2008</v>
      </c>
      <c r="W24" s="12">
        <v>1.406421305389554E-2</v>
      </c>
      <c r="X24" s="12">
        <v>1.1929912692068294E-2</v>
      </c>
      <c r="Z24" s="10"/>
      <c r="AA24" s="10"/>
    </row>
    <row r="25" spans="1:27">
      <c r="A25">
        <f t="shared" si="1"/>
        <v>2013</v>
      </c>
      <c r="B25" s="11">
        <v>75.427183619127817</v>
      </c>
      <c r="C25" s="11">
        <v>82.152996671941651</v>
      </c>
      <c r="D25" s="24"/>
      <c r="E25" s="9"/>
      <c r="F25" s="9"/>
      <c r="G25" s="9"/>
      <c r="H25" s="25"/>
      <c r="I25" s="18"/>
      <c r="J25" s="8"/>
      <c r="V25">
        <f t="shared" si="0"/>
        <v>2013</v>
      </c>
      <c r="W25" s="12">
        <v>1.1100467065871414E-2</v>
      </c>
      <c r="X25" s="12">
        <v>9.3692879178372494E-3</v>
      </c>
      <c r="Z25" s="10"/>
      <c r="AA25" s="10"/>
    </row>
    <row r="26" spans="1:27">
      <c r="A26">
        <f t="shared" si="1"/>
        <v>2018</v>
      </c>
      <c r="B26" s="11">
        <v>76.15356507034879</v>
      </c>
      <c r="C26" s="11">
        <v>82.861669659820137</v>
      </c>
      <c r="D26" s="24"/>
      <c r="E26" s="9"/>
      <c r="F26" s="9"/>
      <c r="G26" s="9"/>
      <c r="H26" s="25"/>
      <c r="I26" s="18"/>
      <c r="J26" s="8"/>
      <c r="V26">
        <f t="shared" si="0"/>
        <v>2018</v>
      </c>
      <c r="W26" s="12">
        <v>8.7612700837439335E-3</v>
      </c>
      <c r="X26" s="12">
        <v>7.3582731368767394E-3</v>
      </c>
      <c r="Z26" s="10"/>
      <c r="AA26" s="10"/>
    </row>
    <row r="27" spans="1:27">
      <c r="D27" s="24"/>
      <c r="E27" s="9"/>
      <c r="F27" s="9"/>
      <c r="H27" s="25"/>
      <c r="I27" s="18"/>
      <c r="J27" s="8"/>
      <c r="X27" s="4"/>
      <c r="Z27" s="10"/>
      <c r="AA27" s="10"/>
    </row>
    <row r="28" spans="1:27">
      <c r="D28" s="24"/>
      <c r="E28" s="9"/>
      <c r="F28" s="9"/>
      <c r="H28" s="25"/>
      <c r="I28" s="18"/>
      <c r="J28" s="8"/>
      <c r="X28" s="4"/>
      <c r="Z28" s="10"/>
      <c r="AA28" s="10"/>
    </row>
    <row r="29" spans="1:27">
      <c r="D29" s="24"/>
      <c r="E29" s="9"/>
      <c r="F29" s="9"/>
      <c r="G29" s="10"/>
      <c r="H29" s="25"/>
      <c r="I29" s="18"/>
      <c r="J29" s="8"/>
      <c r="X29" s="4"/>
      <c r="Z29" s="10"/>
      <c r="AA29" s="10"/>
    </row>
    <row r="30" spans="1:27">
      <c r="D30" s="24"/>
      <c r="E30" s="9"/>
      <c r="F30" s="9"/>
      <c r="G30" s="10"/>
      <c r="H30" s="25"/>
      <c r="I30" s="18"/>
      <c r="J30" s="8"/>
      <c r="X30" s="4"/>
      <c r="Z30" s="10"/>
      <c r="AA30" s="10"/>
    </row>
    <row r="31" spans="1:27">
      <c r="D31" s="24"/>
      <c r="E31" s="9"/>
      <c r="F31" s="9"/>
      <c r="G31" s="10"/>
      <c r="H31" s="25"/>
      <c r="I31" s="18"/>
      <c r="J31" s="8"/>
      <c r="X31" s="4"/>
      <c r="Z31" s="10"/>
      <c r="AA31" s="10"/>
    </row>
    <row r="32" spans="1:27">
      <c r="D32" s="24"/>
      <c r="E32" s="9"/>
      <c r="F32" s="9"/>
      <c r="G32" s="10"/>
      <c r="H32" s="25"/>
      <c r="I32" s="18"/>
      <c r="J32" s="18"/>
      <c r="X32" s="4"/>
      <c r="Z32" s="10"/>
      <c r="AA32" s="10"/>
    </row>
    <row r="33" spans="4:27">
      <c r="D33" s="24"/>
      <c r="E33" s="9"/>
      <c r="F33" s="9"/>
      <c r="G33" s="10"/>
      <c r="H33" s="25"/>
      <c r="I33" s="18"/>
      <c r="J33" s="18"/>
      <c r="X33" s="4"/>
      <c r="Z33" s="10"/>
      <c r="AA33" s="10"/>
    </row>
    <row r="34" spans="4:27">
      <c r="D34" s="24"/>
      <c r="E34" s="9"/>
      <c r="F34" s="9"/>
      <c r="G34" s="10"/>
      <c r="H34" s="25"/>
      <c r="I34" s="18"/>
      <c r="J34" s="18"/>
      <c r="X34" s="4"/>
      <c r="Z34" s="10"/>
      <c r="AA34" s="10"/>
    </row>
    <row r="35" spans="4:27">
      <c r="D35" s="24"/>
      <c r="E35" s="9"/>
      <c r="F35" s="9"/>
      <c r="G35" s="10"/>
      <c r="H35" s="25"/>
      <c r="I35" s="18"/>
      <c r="J35" s="18"/>
      <c r="X35" s="4"/>
      <c r="Z35" s="10"/>
      <c r="AA35" s="10"/>
    </row>
    <row r="36" spans="4:27">
      <c r="D36" s="24"/>
      <c r="E36" s="9"/>
      <c r="F36" s="9"/>
      <c r="G36" s="10"/>
      <c r="H36" s="25"/>
      <c r="I36" s="18"/>
      <c r="J36" s="18"/>
      <c r="X36" s="4"/>
      <c r="Z36" s="10"/>
      <c r="AA36" s="10"/>
    </row>
    <row r="37" spans="4:27">
      <c r="D37" s="24"/>
      <c r="E37" s="9"/>
      <c r="F37" s="9"/>
      <c r="G37" s="10"/>
      <c r="H37" s="25"/>
      <c r="I37" s="18"/>
      <c r="J37" s="18"/>
      <c r="X37" s="4"/>
      <c r="Z37" s="10"/>
      <c r="AA37" s="10"/>
    </row>
    <row r="38" spans="4:27">
      <c r="D38" s="24"/>
      <c r="E38" s="9"/>
      <c r="F38" s="9"/>
      <c r="G38" s="10"/>
      <c r="H38" s="25"/>
      <c r="I38" s="18"/>
      <c r="J38" s="18"/>
      <c r="X38" s="4"/>
      <c r="Z38" s="10"/>
      <c r="AA38" s="10"/>
    </row>
    <row r="39" spans="4:27">
      <c r="D39" s="24"/>
      <c r="E39" s="9"/>
      <c r="F39" s="9"/>
      <c r="G39" s="10"/>
      <c r="H39" s="25"/>
      <c r="I39" s="18"/>
      <c r="J39" s="18"/>
      <c r="X39" s="4"/>
      <c r="Z39" s="10"/>
      <c r="AA39" s="10"/>
    </row>
    <row r="40" spans="4:27">
      <c r="D40" s="24"/>
      <c r="E40" s="9"/>
      <c r="F40" s="9"/>
      <c r="G40" s="10"/>
      <c r="H40" s="25"/>
      <c r="I40" s="18"/>
      <c r="J40" s="18"/>
      <c r="X40" s="4"/>
      <c r="Z40" s="10"/>
      <c r="AA40" s="10"/>
    </row>
    <row r="41" spans="4:27">
      <c r="D41" s="24"/>
      <c r="E41" s="9"/>
      <c r="F41" s="9"/>
      <c r="G41" s="10"/>
      <c r="H41" s="25"/>
      <c r="I41" s="18"/>
      <c r="J41" s="18"/>
      <c r="X41" s="4"/>
      <c r="Z41" s="10"/>
      <c r="AA41" s="10"/>
    </row>
    <row r="42" spans="4:27">
      <c r="D42" s="24"/>
      <c r="E42" s="9"/>
      <c r="F42" s="9"/>
      <c r="G42" s="10"/>
      <c r="H42" s="25"/>
      <c r="I42" s="18"/>
      <c r="J42" s="18"/>
      <c r="X42" s="1"/>
      <c r="Z42" s="10"/>
      <c r="AA42" s="10"/>
    </row>
    <row r="43" spans="4:27">
      <c r="D43" s="24"/>
      <c r="E43" s="9"/>
      <c r="F43" s="9"/>
      <c r="H43" s="25"/>
      <c r="I43" s="18"/>
      <c r="J43" s="18"/>
      <c r="Z43" s="10"/>
      <c r="AA43" s="10"/>
    </row>
    <row r="44" spans="4:27">
      <c r="D44" s="24"/>
      <c r="E44" s="9"/>
      <c r="F44" s="9"/>
      <c r="H44" s="25"/>
      <c r="I44" s="18"/>
      <c r="J44" s="18"/>
      <c r="Z44" s="10"/>
      <c r="AA44" s="10"/>
    </row>
    <row r="45" spans="4:27">
      <c r="D45" s="24"/>
      <c r="E45" s="9"/>
      <c r="F45" s="9"/>
      <c r="H45" s="25"/>
      <c r="I45" s="18"/>
      <c r="J45" s="18"/>
      <c r="Z45" s="10"/>
      <c r="AA45" s="10"/>
    </row>
    <row r="46" spans="4:27">
      <c r="D46" s="24"/>
      <c r="E46" s="9"/>
      <c r="F46" s="9"/>
      <c r="H46" s="25"/>
      <c r="I46" s="18"/>
      <c r="J46" s="18"/>
      <c r="Z46" s="10"/>
      <c r="AA46" s="10"/>
    </row>
    <row r="47" spans="4:27">
      <c r="D47" s="24"/>
      <c r="E47" s="9"/>
      <c r="F47" s="9"/>
      <c r="H47" s="25"/>
      <c r="I47" s="18"/>
      <c r="J47" s="18"/>
      <c r="Z47" s="10"/>
      <c r="AA47" s="10"/>
    </row>
    <row r="48" spans="4:27">
      <c r="D48" s="24"/>
      <c r="E48" s="9"/>
      <c r="F48" s="9"/>
      <c r="H48" s="25"/>
      <c r="I48" s="18"/>
      <c r="J48" s="18"/>
      <c r="Z48" s="10"/>
      <c r="AA48" s="10"/>
    </row>
    <row r="49" spans="4:27">
      <c r="D49" s="24"/>
      <c r="E49" s="9"/>
      <c r="F49" s="9"/>
      <c r="H49" s="25"/>
      <c r="I49" s="18"/>
      <c r="J49" s="18"/>
      <c r="Z49" s="10"/>
      <c r="AA49" s="10"/>
    </row>
    <row r="50" spans="4:27">
      <c r="D50" s="24"/>
      <c r="E50" s="9"/>
      <c r="F50" s="9"/>
      <c r="H50" s="25"/>
      <c r="I50" s="18"/>
      <c r="J50" s="18"/>
      <c r="Z50" s="10"/>
      <c r="AA50" s="10"/>
    </row>
    <row r="51" spans="4:27">
      <c r="D51" s="24"/>
      <c r="E51" s="9"/>
      <c r="F51" s="9"/>
      <c r="H51" s="25"/>
      <c r="I51" s="18"/>
      <c r="J51" s="18"/>
      <c r="Z51" s="10"/>
      <c r="AA51" s="10"/>
    </row>
    <row r="52" spans="4:27">
      <c r="D52" s="24"/>
      <c r="E52" s="9"/>
      <c r="F52" s="9"/>
      <c r="H52" s="25"/>
      <c r="I52" s="18"/>
      <c r="J52" s="18"/>
      <c r="Z52" s="10"/>
      <c r="AA52" s="10"/>
    </row>
    <row r="53" spans="4:27">
      <c r="D53" s="24"/>
      <c r="E53" s="9"/>
      <c r="F53" s="9"/>
      <c r="H53" s="25"/>
      <c r="I53" s="18"/>
      <c r="J53" s="18"/>
      <c r="Z53" s="10"/>
      <c r="AA53" s="10"/>
    </row>
    <row r="54" spans="4:27">
      <c r="D54" s="24"/>
      <c r="E54" s="9"/>
      <c r="F54" s="9"/>
      <c r="H54" s="25"/>
      <c r="I54" s="18"/>
      <c r="J54" s="18"/>
      <c r="Z54" s="10"/>
      <c r="AA54" s="10"/>
    </row>
    <row r="55" spans="4:27">
      <c r="D55" s="24"/>
      <c r="E55" s="9"/>
      <c r="F55" s="9"/>
      <c r="H55" s="25"/>
      <c r="I55" s="18"/>
      <c r="J55" s="18"/>
      <c r="Z55" s="10"/>
      <c r="AA55" s="10"/>
    </row>
    <row r="56" spans="4:27">
      <c r="D56" s="24"/>
      <c r="E56" s="9"/>
      <c r="F56" s="9"/>
      <c r="H56" s="25"/>
      <c r="I56" s="18"/>
      <c r="J56" s="18"/>
      <c r="Z56" s="10"/>
      <c r="AA56" s="10"/>
    </row>
    <row r="57" spans="4:27">
      <c r="D57" s="24"/>
      <c r="E57" s="9"/>
      <c r="F57" s="9"/>
      <c r="H57" s="25"/>
      <c r="I57" s="18"/>
      <c r="J57" s="18"/>
      <c r="Z57" s="10"/>
      <c r="AA57" s="10"/>
    </row>
    <row r="58" spans="4:27">
      <c r="D58" s="24"/>
      <c r="E58" s="9"/>
      <c r="F58" s="9"/>
      <c r="H58" s="25"/>
      <c r="I58" s="18"/>
      <c r="J58" s="18"/>
      <c r="Z58" s="10"/>
      <c r="AA58" s="10"/>
    </row>
    <row r="59" spans="4:27">
      <c r="D59" s="24"/>
      <c r="E59" s="9"/>
      <c r="F59" s="9"/>
      <c r="H59" s="25"/>
      <c r="I59" s="18"/>
      <c r="J59" s="18"/>
      <c r="Z59" s="10"/>
      <c r="AA59" s="10"/>
    </row>
    <row r="60" spans="4:27">
      <c r="D60" s="24"/>
      <c r="E60" s="9"/>
      <c r="F60" s="9"/>
      <c r="H60" s="25"/>
      <c r="I60" s="18"/>
      <c r="J60" s="18"/>
      <c r="Z60" s="10"/>
      <c r="AA60" s="10"/>
    </row>
    <row r="61" spans="4:27">
      <c r="D61" s="24"/>
      <c r="E61" s="9"/>
      <c r="F61" s="9"/>
      <c r="H61" s="25"/>
      <c r="I61" s="18"/>
      <c r="J61" s="18"/>
      <c r="Z61" s="10"/>
      <c r="AA61" s="10"/>
    </row>
    <row r="62" spans="4:27">
      <c r="D62" s="24"/>
      <c r="E62" s="9"/>
      <c r="F62" s="9"/>
      <c r="H62" s="25"/>
      <c r="I62" s="18"/>
      <c r="J62" s="18"/>
      <c r="Z62" s="10"/>
      <c r="AA62" s="10"/>
    </row>
    <row r="63" spans="4:27">
      <c r="D63" s="24"/>
      <c r="E63" s="9"/>
      <c r="F63" s="9"/>
      <c r="H63" s="25"/>
      <c r="I63" s="18"/>
      <c r="J63" s="18"/>
      <c r="Z63" s="10"/>
      <c r="AA63" s="10"/>
    </row>
    <row r="64" spans="4:27">
      <c r="D64" s="24"/>
      <c r="E64" s="9"/>
      <c r="F64" s="9"/>
      <c r="Z64" s="10"/>
      <c r="AA64" s="10"/>
    </row>
    <row r="65" spans="4:27">
      <c r="D65" s="24"/>
      <c r="E65" s="9"/>
      <c r="F65" s="9"/>
      <c r="Z65" s="10"/>
      <c r="AA65" s="10"/>
    </row>
    <row r="66" spans="4:27">
      <c r="D66" s="24"/>
      <c r="E66" s="9"/>
      <c r="F66" s="9"/>
      <c r="Z66" s="10"/>
      <c r="AA66" s="10"/>
    </row>
    <row r="67" spans="4:27">
      <c r="D67" s="24"/>
      <c r="E67" s="9"/>
      <c r="F67" s="9"/>
      <c r="Z67" s="10"/>
      <c r="AA67" s="10"/>
    </row>
    <row r="68" spans="4:27">
      <c r="D68" s="24"/>
      <c r="E68" s="9"/>
      <c r="F68" s="9"/>
      <c r="Z68" s="10"/>
      <c r="AA68" s="10"/>
    </row>
    <row r="69" spans="4:27">
      <c r="D69" s="24"/>
      <c r="E69" s="9"/>
      <c r="F69" s="9"/>
      <c r="Z69" s="10"/>
      <c r="AA69" s="10"/>
    </row>
    <row r="70" spans="4:27">
      <c r="D70" s="24"/>
      <c r="E70" s="9"/>
      <c r="F70" s="9"/>
      <c r="Z70" s="10"/>
      <c r="AA70" s="10"/>
    </row>
    <row r="71" spans="4:27">
      <c r="D71" s="24"/>
      <c r="E71" s="9"/>
      <c r="F71" s="9"/>
      <c r="Z71" s="10"/>
      <c r="AA71" s="10"/>
    </row>
    <row r="72" spans="4:27">
      <c r="D72" s="24"/>
      <c r="E72" s="9"/>
      <c r="F72" s="9"/>
      <c r="Z72" s="10"/>
      <c r="AA72" s="10"/>
    </row>
    <row r="73" spans="4:27">
      <c r="D73" s="24"/>
      <c r="E73" s="9"/>
      <c r="F73" s="9"/>
      <c r="Z73" s="10"/>
      <c r="AA73" s="10"/>
    </row>
    <row r="74" spans="4:27">
      <c r="D74" s="24"/>
      <c r="E74" s="9"/>
      <c r="F74" s="9"/>
      <c r="Z74" s="10"/>
      <c r="AA74" s="10"/>
    </row>
    <row r="75" spans="4:27">
      <c r="D75" s="24"/>
      <c r="E75" s="9"/>
      <c r="F75" s="9"/>
      <c r="Z75" s="10"/>
      <c r="AA75" s="10"/>
    </row>
    <row r="76" spans="4:27">
      <c r="D76" s="24"/>
      <c r="E76" s="9"/>
      <c r="F76" s="9"/>
      <c r="Z76" s="10"/>
      <c r="AA76" s="10"/>
    </row>
    <row r="77" spans="4:27">
      <c r="D77" s="24"/>
      <c r="E77" s="9"/>
      <c r="F77" s="9"/>
      <c r="Z77" s="10"/>
      <c r="AA77" s="10"/>
    </row>
    <row r="78" spans="4:27">
      <c r="D78" s="24"/>
      <c r="E78" s="9"/>
      <c r="F78" s="9"/>
      <c r="Z78" s="10"/>
      <c r="AA78" s="10"/>
    </row>
    <row r="79" spans="4:27">
      <c r="D79" s="24"/>
      <c r="E79" s="9"/>
      <c r="F79" s="9"/>
      <c r="Z79" s="10"/>
      <c r="AA79" s="10"/>
    </row>
    <row r="80" spans="4:27">
      <c r="D80" s="24"/>
      <c r="E80" s="9"/>
      <c r="F80" s="9"/>
      <c r="Z80" s="10"/>
      <c r="AA80" s="10"/>
    </row>
    <row r="81" spans="4:27">
      <c r="D81" s="24"/>
      <c r="E81" s="9"/>
      <c r="F81" s="9"/>
      <c r="Z81" s="10"/>
      <c r="AA81" s="10"/>
    </row>
    <row r="82" spans="4:27">
      <c r="D82" s="24"/>
      <c r="E82" s="9"/>
      <c r="F82" s="9"/>
      <c r="Z82" s="10"/>
      <c r="AA82" s="10"/>
    </row>
    <row r="83" spans="4:27">
      <c r="D83" s="24"/>
      <c r="E83" s="9"/>
      <c r="F83" s="9"/>
      <c r="Z83" s="10"/>
      <c r="AA83" s="10"/>
    </row>
    <row r="84" spans="4:27">
      <c r="D84" s="24"/>
      <c r="E84" s="9"/>
      <c r="F84" s="9"/>
      <c r="Z84" s="10"/>
      <c r="AA84" s="10"/>
    </row>
    <row r="85" spans="4:27">
      <c r="D85" s="24"/>
      <c r="E85" s="9"/>
      <c r="F85" s="9"/>
      <c r="Z85" s="10"/>
      <c r="AA85" s="10"/>
    </row>
    <row r="86" spans="4:27">
      <c r="D86" s="24"/>
      <c r="E86" s="9"/>
      <c r="F86" s="9"/>
      <c r="Z86" s="10"/>
      <c r="AA86" s="10"/>
    </row>
    <row r="87" spans="4:27">
      <c r="D87" s="24"/>
      <c r="E87" s="9"/>
      <c r="F87" s="9"/>
      <c r="Z87" s="10"/>
      <c r="AA87" s="10"/>
    </row>
    <row r="88" spans="4:27">
      <c r="D88" s="24"/>
      <c r="E88" s="9"/>
      <c r="F88" s="9"/>
      <c r="Z88" s="10"/>
      <c r="AA88" s="10"/>
    </row>
    <row r="89" spans="4:27">
      <c r="D89" s="24"/>
      <c r="E89" s="9"/>
      <c r="F89" s="9"/>
      <c r="Z89" s="10"/>
      <c r="AA89" s="10"/>
    </row>
    <row r="90" spans="4:27">
      <c r="D90" s="24"/>
      <c r="E90" s="9"/>
      <c r="F90" s="9"/>
      <c r="Z90" s="10"/>
      <c r="AA90" s="10"/>
    </row>
    <row r="91" spans="4:27">
      <c r="D91" s="24"/>
      <c r="E91" s="9"/>
      <c r="F91" s="9"/>
      <c r="Z91" s="10"/>
      <c r="AA91" s="10"/>
    </row>
    <row r="92" spans="4:27">
      <c r="D92" s="24"/>
      <c r="E92" s="9"/>
      <c r="F92" s="9"/>
      <c r="Z92" s="10"/>
      <c r="AA92" s="10"/>
    </row>
    <row r="93" spans="4:27">
      <c r="D93" s="24"/>
      <c r="E93" s="9"/>
      <c r="F93" s="9"/>
      <c r="Z93" s="10"/>
      <c r="AA93" s="10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ommandButton1">
          <controlPr autoLine="0" r:id="rId5">
            <anchor moveWithCells="1">
              <from>
                <xdr:col>4</xdr:col>
                <xdr:colOff>228600</xdr:colOff>
                <xdr:row>4</xdr:row>
                <xdr:rowOff>0</xdr:rowOff>
              </from>
              <to>
                <xdr:col>6</xdr:col>
                <xdr:colOff>38100</xdr:colOff>
                <xdr:row>6</xdr:row>
                <xdr:rowOff>45720</xdr:rowOff>
              </to>
            </anchor>
          </controlPr>
        </control>
      </mc:Choice>
      <mc:Fallback>
        <control shapeId="2052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CC"/>
  </sheetPr>
  <dimension ref="A1:CD24"/>
  <sheetViews>
    <sheetView zoomScaleNormal="100" workbookViewId="0">
      <selection sqref="A1:CD100"/>
    </sheetView>
  </sheetViews>
  <sheetFormatPr baseColWidth="10" defaultColWidth="9.140625" defaultRowHeight="10.199999999999999"/>
  <cols>
    <col min="2" max="15" width="12.28515625" bestFit="1" customWidth="1"/>
  </cols>
  <sheetData>
    <row r="1" spans="1:82" ht="10.8" thickTop="1">
      <c r="A1" s="3" t="s">
        <v>48</v>
      </c>
      <c r="B1" s="60">
        <v>1980.6710205078125</v>
      </c>
      <c r="C1" s="61">
        <v>1991.66796875</v>
      </c>
      <c r="D1" s="61">
        <v>1996.5860595703125</v>
      </c>
      <c r="E1" s="61">
        <v>2000.5860595703125</v>
      </c>
      <c r="F1" s="61">
        <v>2010.7099609375</v>
      </c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</row>
    <row r="2" spans="1:82">
      <c r="A2">
        <v>0</v>
      </c>
      <c r="B2" s="52">
        <v>5.8872060440669928E-2</v>
      </c>
      <c r="C2" s="53">
        <v>3.0824658577031126E-2</v>
      </c>
      <c r="D2" s="53">
        <v>2.6198373658719944E-2</v>
      </c>
      <c r="E2" s="53">
        <v>1.8484348361379445E-2</v>
      </c>
      <c r="F2" s="53">
        <v>1.2949570813361316E-2</v>
      </c>
      <c r="G2" s="53"/>
      <c r="H2" s="53"/>
      <c r="I2" s="53"/>
      <c r="J2" s="53"/>
      <c r="K2" s="53"/>
      <c r="L2" s="53"/>
      <c r="M2" s="53"/>
      <c r="N2" s="53"/>
      <c r="O2" s="53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8"/>
    </row>
    <row r="3" spans="1:82">
      <c r="A3">
        <v>1</v>
      </c>
      <c r="B3" s="52">
        <v>2.9917314753203383E-3</v>
      </c>
      <c r="C3" s="53">
        <v>1.3511733369046446E-3</v>
      </c>
      <c r="D3" s="53">
        <v>1.109429542674219E-3</v>
      </c>
      <c r="E3" s="53">
        <v>8.8251223327557877E-4</v>
      </c>
      <c r="F3" s="53">
        <v>6.2988562013294451E-4</v>
      </c>
      <c r="G3" s="53"/>
      <c r="H3" s="53"/>
      <c r="I3" s="53"/>
      <c r="J3" s="53"/>
      <c r="K3" s="53"/>
      <c r="L3" s="53"/>
      <c r="M3" s="53"/>
      <c r="N3" s="53"/>
      <c r="O3" s="53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</row>
    <row r="4" spans="1:82">
      <c r="A4">
        <v>5</v>
      </c>
      <c r="B4" s="52">
        <v>6.9706747413999712E-4</v>
      </c>
      <c r="C4" s="53">
        <v>5.169025169495645E-4</v>
      </c>
      <c r="D4" s="53">
        <v>4.5673800415068776E-4</v>
      </c>
      <c r="E4" s="53">
        <v>3.8188223166010489E-4</v>
      </c>
      <c r="F4" s="53">
        <v>3.3222189551281896E-4</v>
      </c>
      <c r="G4" s="53"/>
      <c r="H4" s="53"/>
      <c r="I4" s="53"/>
      <c r="J4" s="53"/>
      <c r="K4" s="53"/>
      <c r="L4" s="53"/>
      <c r="M4" s="53"/>
      <c r="N4" s="53"/>
      <c r="O4" s="53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8"/>
    </row>
    <row r="5" spans="1:82">
      <c r="A5">
        <v>10</v>
      </c>
      <c r="B5" s="52">
        <v>7.0300747992150332E-4</v>
      </c>
      <c r="C5" s="53">
        <v>5.2815114701942488E-4</v>
      </c>
      <c r="D5" s="53">
        <v>5.5498532550818836E-4</v>
      </c>
      <c r="E5" s="53">
        <v>4.5505136398542914E-4</v>
      </c>
      <c r="F5" s="53">
        <v>4.3287047773244764E-4</v>
      </c>
      <c r="G5" s="53"/>
      <c r="H5" s="53"/>
      <c r="I5" s="53"/>
      <c r="J5" s="53"/>
      <c r="K5" s="53"/>
      <c r="L5" s="53"/>
      <c r="M5" s="53"/>
      <c r="N5" s="53"/>
      <c r="O5" s="53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8"/>
    </row>
    <row r="6" spans="1:82">
      <c r="A6">
        <v>15</v>
      </c>
      <c r="B6" s="52">
        <v>1.4240872426704559E-3</v>
      </c>
      <c r="C6" s="53">
        <v>1.4335274769691347E-3</v>
      </c>
      <c r="D6" s="53">
        <v>1.5711355052335041E-3</v>
      </c>
      <c r="E6" s="53">
        <v>1.64555271646029E-3</v>
      </c>
      <c r="F6" s="53">
        <v>1.6405979774641087E-3</v>
      </c>
      <c r="G6" s="53"/>
      <c r="H6" s="53"/>
      <c r="I6" s="53"/>
      <c r="J6" s="53"/>
      <c r="K6" s="53"/>
      <c r="L6" s="53"/>
      <c r="M6" s="53"/>
      <c r="N6" s="53"/>
      <c r="O6" s="53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8"/>
    </row>
    <row r="7" spans="1:82">
      <c r="A7">
        <v>20</v>
      </c>
      <c r="B7" s="52">
        <v>2.1016034761788963E-3</v>
      </c>
      <c r="C7" s="53">
        <v>2.4362515554661609E-3</v>
      </c>
      <c r="D7" s="53">
        <v>2.4042458599573433E-3</v>
      </c>
      <c r="E7" s="53">
        <v>2.3042349078645991E-3</v>
      </c>
      <c r="F7" s="53">
        <v>2.5811336518976801E-3</v>
      </c>
      <c r="G7" s="53"/>
      <c r="H7" s="53"/>
      <c r="I7" s="53"/>
      <c r="J7" s="53"/>
      <c r="K7" s="53"/>
      <c r="L7" s="53"/>
      <c r="M7" s="53"/>
      <c r="N7" s="53"/>
      <c r="O7" s="53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8"/>
    </row>
    <row r="8" spans="1:82">
      <c r="A8">
        <v>25</v>
      </c>
      <c r="B8" s="52">
        <v>2.5191110369961749E-3</v>
      </c>
      <c r="C8" s="53">
        <v>2.954464941184023E-3</v>
      </c>
      <c r="D8" s="53">
        <v>3.0119077252064169E-3</v>
      </c>
      <c r="E8" s="53">
        <v>2.4672034429184717E-3</v>
      </c>
      <c r="F8" s="53">
        <v>2.5776125890269955E-3</v>
      </c>
      <c r="G8" s="53"/>
      <c r="H8" s="53"/>
      <c r="I8" s="53"/>
      <c r="J8" s="53"/>
      <c r="K8" s="53"/>
      <c r="L8" s="53"/>
      <c r="M8" s="53"/>
      <c r="N8" s="53"/>
      <c r="O8" s="53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8"/>
    </row>
    <row r="9" spans="1:82">
      <c r="A9">
        <v>30</v>
      </c>
      <c r="B9" s="52">
        <v>3.1086679677003455E-3</v>
      </c>
      <c r="C9" s="53">
        <v>3.3407455583576041E-3</v>
      </c>
      <c r="D9" s="53">
        <v>3.6742665496025963E-3</v>
      </c>
      <c r="E9" s="53">
        <v>3.0970041358985585E-3</v>
      </c>
      <c r="F9" s="53">
        <v>2.5465954750758676E-3</v>
      </c>
      <c r="G9" s="53"/>
      <c r="H9" s="53"/>
      <c r="I9" s="53"/>
      <c r="J9" s="53"/>
      <c r="K9" s="53"/>
      <c r="L9" s="53"/>
      <c r="M9" s="53"/>
      <c r="N9" s="53"/>
      <c r="O9" s="53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8"/>
    </row>
    <row r="10" spans="1:82">
      <c r="A10">
        <v>35</v>
      </c>
      <c r="B10" s="52">
        <v>4.0718682068455339E-3</v>
      </c>
      <c r="C10" s="53">
        <v>3.9711954291706915E-3</v>
      </c>
      <c r="D10" s="53">
        <v>4.1288825787673903E-3</v>
      </c>
      <c r="E10" s="53">
        <v>3.7239078693648612E-3</v>
      </c>
      <c r="F10" s="53">
        <v>2.8898257355594414E-3</v>
      </c>
      <c r="G10" s="53"/>
      <c r="H10" s="53"/>
      <c r="I10" s="53"/>
      <c r="J10" s="53"/>
      <c r="K10" s="53"/>
      <c r="L10" s="53"/>
      <c r="M10" s="53"/>
      <c r="N10" s="53"/>
      <c r="O10" s="53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8"/>
    </row>
    <row r="11" spans="1:82">
      <c r="A11">
        <v>40</v>
      </c>
      <c r="B11" s="52">
        <v>5.9676419851937322E-3</v>
      </c>
      <c r="C11" s="53">
        <v>4.9662081374216051E-3</v>
      </c>
      <c r="D11" s="53">
        <v>5.0155475398575254E-3</v>
      </c>
      <c r="E11" s="53">
        <v>4.5067023225887114E-3</v>
      </c>
      <c r="F11" s="53">
        <v>4.0117296877689732E-3</v>
      </c>
      <c r="G11" s="53"/>
      <c r="H11" s="53"/>
      <c r="I11" s="53"/>
      <c r="J11" s="53"/>
      <c r="K11" s="53"/>
      <c r="L11" s="53"/>
      <c r="M11" s="53"/>
      <c r="N11" s="53"/>
      <c r="O11" s="53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8"/>
    </row>
    <row r="12" spans="1:82">
      <c r="A12">
        <v>45</v>
      </c>
      <c r="B12" s="52">
        <v>7.3902891863149049E-3</v>
      </c>
      <c r="C12" s="53">
        <v>6.2668117795378203E-3</v>
      </c>
      <c r="D12" s="53">
        <v>6.2234266475642216E-3</v>
      </c>
      <c r="E12" s="53">
        <v>5.9077487656616339E-3</v>
      </c>
      <c r="F12" s="53">
        <v>5.3808357966407677E-3</v>
      </c>
      <c r="G12" s="53"/>
      <c r="H12" s="53"/>
      <c r="I12" s="53"/>
      <c r="J12" s="53"/>
      <c r="K12" s="53"/>
      <c r="L12" s="53"/>
      <c r="M12" s="53"/>
      <c r="N12" s="53"/>
      <c r="O12" s="53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8"/>
    </row>
    <row r="13" spans="1:82">
      <c r="A13">
        <v>50</v>
      </c>
      <c r="B13" s="52">
        <v>1.0926682147421275E-2</v>
      </c>
      <c r="C13" s="53">
        <v>9.6615993933798251E-3</v>
      </c>
      <c r="D13" s="53">
        <v>8.3275395413129512E-3</v>
      </c>
      <c r="E13" s="53">
        <v>7.9404229564865227E-3</v>
      </c>
      <c r="F13" s="53">
        <v>7.3161940572703792E-3</v>
      </c>
      <c r="G13" s="53"/>
      <c r="H13" s="53"/>
      <c r="I13" s="53"/>
      <c r="J13" s="53"/>
      <c r="K13" s="53"/>
      <c r="L13" s="53"/>
      <c r="M13" s="53"/>
      <c r="N13" s="53"/>
      <c r="O13" s="53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8"/>
    </row>
    <row r="14" spans="1:82">
      <c r="A14">
        <v>55</v>
      </c>
      <c r="B14" s="52">
        <v>1.3366121593628077E-2</v>
      </c>
      <c r="C14" s="53">
        <v>1.2982693524650405E-2</v>
      </c>
      <c r="D14" s="53">
        <v>1.2217112990936474E-2</v>
      </c>
      <c r="E14" s="53">
        <v>1.073818209476631E-2</v>
      </c>
      <c r="F14" s="53">
        <v>9.8889774233886577E-3</v>
      </c>
      <c r="G14" s="53"/>
      <c r="H14" s="53"/>
      <c r="I14" s="53"/>
      <c r="J14" s="53"/>
      <c r="K14" s="53"/>
      <c r="L14" s="53"/>
      <c r="M14" s="53"/>
      <c r="N14" s="53"/>
      <c r="O14" s="53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8"/>
    </row>
    <row r="15" spans="1:82">
      <c r="A15">
        <v>60</v>
      </c>
      <c r="B15" s="52">
        <v>1.8798379153643539E-2</v>
      </c>
      <c r="C15" s="53">
        <v>1.9134519366662526E-2</v>
      </c>
      <c r="D15" s="53">
        <v>1.7762385884430614E-2</v>
      </c>
      <c r="E15" s="53">
        <v>1.6865123167909713E-2</v>
      </c>
      <c r="F15" s="53">
        <v>1.3273046772946837E-2</v>
      </c>
      <c r="G15" s="53"/>
      <c r="H15" s="53"/>
      <c r="I15" s="53"/>
      <c r="J15" s="53"/>
      <c r="K15" s="53"/>
      <c r="L15" s="53"/>
      <c r="M15" s="53"/>
      <c r="N15" s="53"/>
      <c r="O15" s="53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8"/>
    </row>
    <row r="16" spans="1:82">
      <c r="A16">
        <v>65</v>
      </c>
      <c r="B16" s="52">
        <v>2.8653125174602057E-2</v>
      </c>
      <c r="C16" s="53">
        <v>2.4503289873896113E-2</v>
      </c>
      <c r="D16" s="53">
        <v>2.5148954128336388E-2</v>
      </c>
      <c r="E16" s="53">
        <v>2.2492835335742787E-2</v>
      </c>
      <c r="F16" s="53">
        <v>1.8334121852483128E-2</v>
      </c>
      <c r="G16" s="53"/>
      <c r="H16" s="53"/>
      <c r="I16" s="53"/>
      <c r="J16" s="53"/>
      <c r="K16" s="53"/>
      <c r="L16" s="53"/>
      <c r="M16" s="53"/>
      <c r="N16" s="53"/>
      <c r="O16" s="53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8"/>
    </row>
    <row r="17" spans="1:82">
      <c r="A17">
        <v>70</v>
      </c>
      <c r="B17" s="52">
        <v>3.7304052091074E-2</v>
      </c>
      <c r="C17" s="53">
        <v>3.2664387526547524E-2</v>
      </c>
      <c r="D17" s="53">
        <v>3.2561041846830611E-2</v>
      </c>
      <c r="E17" s="53">
        <v>3.2623888031058652E-2</v>
      </c>
      <c r="F17" s="53">
        <v>2.821198150010374E-2</v>
      </c>
      <c r="G17" s="53"/>
      <c r="H17" s="53"/>
      <c r="I17" s="53"/>
      <c r="J17" s="53"/>
      <c r="K17" s="53"/>
      <c r="L17" s="53"/>
      <c r="M17" s="53"/>
      <c r="N17" s="53"/>
      <c r="O17" s="53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8"/>
    </row>
    <row r="18" spans="1:82">
      <c r="A18">
        <v>75</v>
      </c>
      <c r="B18" s="52">
        <v>5.2713700262527016E-2</v>
      </c>
      <c r="C18" s="53">
        <v>4.7826787912673467E-2</v>
      </c>
      <c r="D18" s="53">
        <v>4.2364822351967688E-2</v>
      </c>
      <c r="E18" s="53">
        <v>4.0210744847532974E-2</v>
      </c>
      <c r="F18" s="53">
        <v>3.7489561212772943E-2</v>
      </c>
      <c r="G18" s="53"/>
      <c r="H18" s="53"/>
      <c r="I18" s="53"/>
      <c r="J18" s="53"/>
      <c r="K18" s="53"/>
      <c r="L18" s="53"/>
      <c r="M18" s="53"/>
      <c r="N18" s="53"/>
      <c r="O18" s="53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8"/>
    </row>
    <row r="19" spans="1:82">
      <c r="A19">
        <v>80</v>
      </c>
      <c r="B19" s="52">
        <v>5.9629374001727221E-2</v>
      </c>
      <c r="C19" s="53">
        <v>5.7951540571122596E-2</v>
      </c>
      <c r="D19" s="53">
        <v>5.7641685629770296E-2</v>
      </c>
      <c r="E19" s="53">
        <v>5.1477676680361531E-2</v>
      </c>
      <c r="F19" s="53">
        <v>5.2072643038808437E-2</v>
      </c>
      <c r="G19" s="53"/>
      <c r="H19" s="53"/>
      <c r="I19" s="53"/>
      <c r="J19" s="53"/>
      <c r="K19" s="53"/>
      <c r="L19" s="53"/>
      <c r="M19" s="53"/>
      <c r="N19" s="53"/>
      <c r="O19" s="53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8"/>
    </row>
    <row r="20" spans="1:82">
      <c r="A20">
        <v>85</v>
      </c>
      <c r="B20" s="52">
        <v>7.0922259012636338E-2</v>
      </c>
      <c r="C20" s="53">
        <v>7.3103658051543133E-2</v>
      </c>
      <c r="D20" s="53">
        <v>8.0202275084381339E-2</v>
      </c>
      <c r="E20" s="53">
        <v>6.8233916192808067E-2</v>
      </c>
      <c r="F20" s="53">
        <v>7.3922143140728647E-2</v>
      </c>
      <c r="G20" s="53"/>
      <c r="H20" s="53"/>
      <c r="I20" s="53"/>
      <c r="J20" s="53"/>
      <c r="K20" s="53"/>
      <c r="L20" s="53"/>
      <c r="M20" s="53"/>
      <c r="N20" s="53"/>
      <c r="O20" s="53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8"/>
    </row>
    <row r="21" spans="1:82">
      <c r="A21">
        <v>90</v>
      </c>
      <c r="B21" s="52">
        <v>9.3255830969512468E-2</v>
      </c>
      <c r="C21" s="53">
        <v>9.9947960706306765E-2</v>
      </c>
      <c r="D21" s="53">
        <v>0.11670089017484797</v>
      </c>
      <c r="E21" s="53">
        <v>9.695958264475632E-2</v>
      </c>
      <c r="F21" s="53">
        <v>0.10961520596771972</v>
      </c>
      <c r="G21" s="53"/>
      <c r="H21" s="53"/>
      <c r="I21" s="53"/>
      <c r="J21" s="53"/>
      <c r="K21" s="53"/>
      <c r="L21" s="53"/>
      <c r="M21" s="53"/>
      <c r="N21" s="53"/>
      <c r="O21" s="53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8"/>
    </row>
    <row r="22" spans="1:82">
      <c r="A22">
        <v>95</v>
      </c>
      <c r="B22" s="52">
        <v>0.13556280863053718</v>
      </c>
      <c r="C22" s="53">
        <v>0.14810491458770153</v>
      </c>
      <c r="D22" s="53">
        <v>0.17758207030042891</v>
      </c>
      <c r="E22" s="53">
        <v>0.14770331989264604</v>
      </c>
      <c r="F22" s="53">
        <v>0.16978463530821</v>
      </c>
      <c r="G22" s="53"/>
      <c r="H22" s="53"/>
      <c r="I22" s="53"/>
      <c r="J22" s="53"/>
      <c r="K22" s="53"/>
      <c r="L22" s="53"/>
      <c r="M22" s="53"/>
      <c r="N22" s="53"/>
      <c r="O22" s="53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8"/>
    </row>
    <row r="23" spans="1:82" ht="10.8" thickBot="1">
      <c r="A23">
        <v>100</v>
      </c>
      <c r="B23" s="54">
        <v>0.21785937115817874</v>
      </c>
      <c r="C23" s="55">
        <v>0.23786235103774309</v>
      </c>
      <c r="D23" s="55">
        <v>0.28259308210203254</v>
      </c>
      <c r="E23" s="55">
        <v>0.24121197037925859</v>
      </c>
      <c r="F23" s="55">
        <v>0.2746991370216646</v>
      </c>
      <c r="G23" s="55"/>
      <c r="H23" s="55"/>
      <c r="I23" s="55"/>
      <c r="J23" s="55"/>
      <c r="K23" s="55"/>
      <c r="L23" s="55"/>
      <c r="M23" s="55"/>
      <c r="N23" s="55"/>
      <c r="O23" s="55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1"/>
    </row>
    <row r="24" spans="1:82" ht="10.8" thickTop="1"/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CC"/>
  </sheetPr>
  <dimension ref="A1:CD24"/>
  <sheetViews>
    <sheetView workbookViewId="0">
      <selection sqref="A1:CD100"/>
    </sheetView>
  </sheetViews>
  <sheetFormatPr baseColWidth="10" defaultColWidth="9.140625" defaultRowHeight="10.199999999999999"/>
  <cols>
    <col min="2" max="15" width="12.28515625" bestFit="1" customWidth="1"/>
  </cols>
  <sheetData>
    <row r="1" spans="1:82" ht="10.8" thickTop="1">
      <c r="A1" s="3" t="s">
        <v>47</v>
      </c>
      <c r="B1" s="62">
        <v>1980.6710205078125</v>
      </c>
      <c r="C1" s="62">
        <v>1991.66796875</v>
      </c>
      <c r="D1" s="62">
        <v>1996.5860595703125</v>
      </c>
      <c r="E1" s="62">
        <v>2000.5860595703125</v>
      </c>
      <c r="F1" s="62">
        <v>2010.7099609375</v>
      </c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</row>
    <row r="2" spans="1:82">
      <c r="A2">
        <v>0</v>
      </c>
      <c r="B2" s="56">
        <v>4.5268937969766367E-2</v>
      </c>
      <c r="C2" s="57">
        <v>2.3837965929771533E-2</v>
      </c>
      <c r="D2" s="57">
        <v>2.0247934108661429E-2</v>
      </c>
      <c r="E2" s="57">
        <v>1.4603343713995376E-2</v>
      </c>
      <c r="F2" s="57">
        <v>1.0488153434169631E-2</v>
      </c>
      <c r="G2" s="57"/>
      <c r="H2" s="57"/>
      <c r="I2" s="57"/>
      <c r="J2" s="57"/>
      <c r="K2" s="57"/>
      <c r="L2" s="57"/>
      <c r="M2" s="57"/>
      <c r="N2" s="57"/>
      <c r="O2" s="57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4"/>
    </row>
    <row r="3" spans="1:82">
      <c r="A3">
        <v>1</v>
      </c>
      <c r="B3" s="56">
        <v>2.7039685566807169E-3</v>
      </c>
      <c r="C3" s="57">
        <v>1.1540527290383443E-3</v>
      </c>
      <c r="D3" s="57">
        <v>9.3275911246187078E-4</v>
      </c>
      <c r="E3" s="57">
        <v>7.6843391974586422E-4</v>
      </c>
      <c r="F3" s="57">
        <v>5.2104267887566531E-4</v>
      </c>
      <c r="G3" s="57"/>
      <c r="H3" s="57"/>
      <c r="I3" s="57"/>
      <c r="J3" s="57"/>
      <c r="K3" s="57"/>
      <c r="L3" s="57"/>
      <c r="M3" s="57"/>
      <c r="N3" s="57"/>
      <c r="O3" s="57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4"/>
    </row>
    <row r="4" spans="1:82">
      <c r="A4">
        <v>5</v>
      </c>
      <c r="B4" s="56">
        <v>5.0748031744588722E-4</v>
      </c>
      <c r="C4" s="57">
        <v>3.5842596509149554E-4</v>
      </c>
      <c r="D4" s="57">
        <v>3.0998474472858204E-4</v>
      </c>
      <c r="E4" s="57">
        <v>2.7104570564266792E-4</v>
      </c>
      <c r="F4" s="57">
        <v>2.5030619468549168E-4</v>
      </c>
      <c r="G4" s="57"/>
      <c r="H4" s="57"/>
      <c r="I4" s="57"/>
      <c r="J4" s="57"/>
      <c r="K4" s="57"/>
      <c r="L4" s="57"/>
      <c r="M4" s="57"/>
      <c r="N4" s="57"/>
      <c r="O4" s="57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4"/>
    </row>
    <row r="5" spans="1:82">
      <c r="A5">
        <v>10</v>
      </c>
      <c r="B5" s="56">
        <v>4.5993643340448568E-4</v>
      </c>
      <c r="C5" s="57">
        <v>3.1794850354833706E-4</v>
      </c>
      <c r="D5" s="57">
        <v>3.3921379986014545E-4</v>
      </c>
      <c r="E5" s="57">
        <v>2.8734642751702694E-4</v>
      </c>
      <c r="F5" s="57">
        <v>2.9006599067788174E-4</v>
      </c>
      <c r="G5" s="57"/>
      <c r="H5" s="57"/>
      <c r="I5" s="57"/>
      <c r="J5" s="57"/>
      <c r="K5" s="57"/>
      <c r="L5" s="57"/>
      <c r="M5" s="57"/>
      <c r="N5" s="57"/>
      <c r="O5" s="57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4"/>
    </row>
    <row r="6" spans="1:82">
      <c r="A6">
        <v>15</v>
      </c>
      <c r="B6" s="56">
        <v>7.3416467796502487E-4</v>
      </c>
      <c r="C6" s="57">
        <v>5.016783708593817E-4</v>
      </c>
      <c r="D6" s="57">
        <v>5.2480642728722562E-4</v>
      </c>
      <c r="E6" s="57">
        <v>4.8682746419259252E-4</v>
      </c>
      <c r="F6" s="57">
        <v>4.5294465168319904E-4</v>
      </c>
      <c r="G6" s="57"/>
      <c r="H6" s="57"/>
      <c r="I6" s="57"/>
      <c r="J6" s="57"/>
      <c r="K6" s="57"/>
      <c r="L6" s="57"/>
      <c r="M6" s="57"/>
      <c r="N6" s="57"/>
      <c r="O6" s="57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4"/>
    </row>
    <row r="7" spans="1:82">
      <c r="A7">
        <v>20</v>
      </c>
      <c r="B7" s="56">
        <v>8.9484788203148002E-4</v>
      </c>
      <c r="C7" s="57">
        <v>6.9801921575749859E-4</v>
      </c>
      <c r="D7" s="57">
        <v>6.5178524835502458E-4</v>
      </c>
      <c r="E7" s="57">
        <v>5.6504185865429042E-4</v>
      </c>
      <c r="F7" s="57">
        <v>5.8139051439007393E-4</v>
      </c>
      <c r="G7" s="57"/>
      <c r="H7" s="57"/>
      <c r="I7" s="57"/>
      <c r="J7" s="57"/>
      <c r="K7" s="57"/>
      <c r="L7" s="57"/>
      <c r="M7" s="57"/>
      <c r="N7" s="57"/>
      <c r="O7" s="57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4"/>
    </row>
    <row r="8" spans="1:82">
      <c r="A8">
        <v>25</v>
      </c>
      <c r="B8" s="56">
        <v>1.1259118022122778E-3</v>
      </c>
      <c r="C8" s="57">
        <v>9.1779094991980073E-4</v>
      </c>
      <c r="D8" s="57">
        <v>9.0142551699231752E-4</v>
      </c>
      <c r="E8" s="57">
        <v>7.1455763854418226E-4</v>
      </c>
      <c r="F8" s="57">
        <v>7.2485003142007799E-4</v>
      </c>
      <c r="G8" s="57"/>
      <c r="H8" s="57"/>
      <c r="I8" s="57"/>
      <c r="J8" s="57"/>
      <c r="K8" s="57"/>
      <c r="L8" s="57"/>
      <c r="M8" s="57"/>
      <c r="N8" s="57"/>
      <c r="O8" s="57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4"/>
    </row>
    <row r="9" spans="1:82">
      <c r="A9">
        <v>30</v>
      </c>
      <c r="B9" s="56">
        <v>1.4948700828026876E-3</v>
      </c>
      <c r="C9" s="57">
        <v>1.1441452960947172E-3</v>
      </c>
      <c r="D9" s="57">
        <v>1.2512350110976014E-3</v>
      </c>
      <c r="E9" s="57">
        <v>1.059380491333839E-3</v>
      </c>
      <c r="F9" s="57">
        <v>9.0070382314396194E-4</v>
      </c>
      <c r="G9" s="57"/>
      <c r="H9" s="57"/>
      <c r="I9" s="57"/>
      <c r="J9" s="57"/>
      <c r="K9" s="57"/>
      <c r="L9" s="57"/>
      <c r="M9" s="57"/>
      <c r="N9" s="57"/>
      <c r="O9" s="57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4"/>
    </row>
    <row r="10" spans="1:82">
      <c r="A10">
        <v>35</v>
      </c>
      <c r="B10" s="56">
        <v>2.1967521443205362E-3</v>
      </c>
      <c r="C10" s="57">
        <v>1.5715025449512534E-3</v>
      </c>
      <c r="D10" s="57">
        <v>1.5986476675509593E-3</v>
      </c>
      <c r="E10" s="57">
        <v>1.4811649187992137E-3</v>
      </c>
      <c r="F10" s="57">
        <v>1.171429711020699E-3</v>
      </c>
      <c r="G10" s="57"/>
      <c r="H10" s="57"/>
      <c r="I10" s="57"/>
      <c r="J10" s="57"/>
      <c r="K10" s="57"/>
      <c r="L10" s="57"/>
      <c r="M10" s="57"/>
      <c r="N10" s="57"/>
      <c r="O10" s="57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4"/>
    </row>
    <row r="11" spans="1:82">
      <c r="A11">
        <v>40</v>
      </c>
      <c r="B11" s="56">
        <v>3.1431685828086412E-3</v>
      </c>
      <c r="C11" s="57">
        <v>2.2069178382129076E-3</v>
      </c>
      <c r="D11" s="57">
        <v>2.2303299057994633E-3</v>
      </c>
      <c r="E11" s="57">
        <v>2.0487393227594593E-3</v>
      </c>
      <c r="F11" s="57">
        <v>1.8155029183016182E-3</v>
      </c>
      <c r="G11" s="57"/>
      <c r="H11" s="57"/>
      <c r="I11" s="57"/>
      <c r="J11" s="57"/>
      <c r="K11" s="57"/>
      <c r="L11" s="57"/>
      <c r="M11" s="57"/>
      <c r="N11" s="57"/>
      <c r="O11" s="57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4"/>
    </row>
    <row r="12" spans="1:82">
      <c r="A12">
        <v>45</v>
      </c>
      <c r="B12" s="56">
        <v>3.982665995370378E-3</v>
      </c>
      <c r="C12" s="57">
        <v>3.1510146449916392E-3</v>
      </c>
      <c r="D12" s="57">
        <v>3.1303588522222786E-3</v>
      </c>
      <c r="E12" s="57">
        <v>2.9357056203155227E-3</v>
      </c>
      <c r="F12" s="57">
        <v>2.7342614076523667E-3</v>
      </c>
      <c r="G12" s="57"/>
      <c r="H12" s="57"/>
      <c r="I12" s="57"/>
      <c r="J12" s="57"/>
      <c r="K12" s="57"/>
      <c r="L12" s="57"/>
      <c r="M12" s="57"/>
      <c r="N12" s="57"/>
      <c r="O12" s="57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4"/>
    </row>
    <row r="13" spans="1:82">
      <c r="A13">
        <v>50</v>
      </c>
      <c r="B13" s="56">
        <v>5.9387909087724559E-3</v>
      </c>
      <c r="C13" s="57">
        <v>5.0380709962135305E-3</v>
      </c>
      <c r="D13" s="57">
        <v>4.5144267199296369E-3</v>
      </c>
      <c r="E13" s="57">
        <v>4.2010987556145686E-3</v>
      </c>
      <c r="F13" s="57">
        <v>3.7817917663024864E-3</v>
      </c>
      <c r="G13" s="57"/>
      <c r="H13" s="57"/>
      <c r="I13" s="57"/>
      <c r="J13" s="57"/>
      <c r="K13" s="57"/>
      <c r="L13" s="57"/>
      <c r="M13" s="57"/>
      <c r="N13" s="57"/>
      <c r="O13" s="57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4"/>
    </row>
    <row r="14" spans="1:82">
      <c r="A14">
        <v>55</v>
      </c>
      <c r="B14" s="56">
        <v>7.469476541142021E-3</v>
      </c>
      <c r="C14" s="57">
        <v>7.1834041548955634E-3</v>
      </c>
      <c r="D14" s="57">
        <v>7.1254970483100501E-3</v>
      </c>
      <c r="E14" s="57">
        <v>6.0389367439523745E-3</v>
      </c>
      <c r="F14" s="57">
        <v>5.2926132426179993E-3</v>
      </c>
      <c r="G14" s="57"/>
      <c r="H14" s="57"/>
      <c r="I14" s="57"/>
      <c r="J14" s="57"/>
      <c r="K14" s="57"/>
      <c r="L14" s="57"/>
      <c r="M14" s="57"/>
      <c r="N14" s="57"/>
      <c r="O14" s="57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4"/>
    </row>
    <row r="15" spans="1:82">
      <c r="A15">
        <v>60</v>
      </c>
      <c r="B15" s="56">
        <v>1.1659719973212806E-2</v>
      </c>
      <c r="C15" s="57">
        <v>1.1023275666221473E-2</v>
      </c>
      <c r="D15" s="57">
        <v>1.0579550827351196E-2</v>
      </c>
      <c r="E15" s="57">
        <v>9.9836170228170384E-3</v>
      </c>
      <c r="F15" s="57">
        <v>7.5754329338248031E-3</v>
      </c>
      <c r="G15" s="57"/>
      <c r="H15" s="57"/>
      <c r="I15" s="57"/>
      <c r="J15" s="57"/>
      <c r="K15" s="57"/>
      <c r="L15" s="57"/>
      <c r="M15" s="57"/>
      <c r="N15" s="57"/>
      <c r="O15" s="57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4"/>
    </row>
    <row r="16" spans="1:82">
      <c r="A16">
        <v>65</v>
      </c>
      <c r="B16" s="56">
        <v>1.8486284549849189E-2</v>
      </c>
      <c r="C16" s="57">
        <v>1.4717525307087913E-2</v>
      </c>
      <c r="D16" s="57">
        <v>1.5764369388244322E-2</v>
      </c>
      <c r="E16" s="57">
        <v>1.3852992867967861E-2</v>
      </c>
      <c r="F16" s="57">
        <v>1.1174036895313976E-2</v>
      </c>
      <c r="G16" s="57"/>
      <c r="H16" s="57"/>
      <c r="I16" s="57"/>
      <c r="J16" s="57"/>
      <c r="K16" s="57"/>
      <c r="L16" s="57"/>
      <c r="M16" s="57"/>
      <c r="N16" s="57"/>
      <c r="O16" s="57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4"/>
    </row>
    <row r="17" spans="1:82">
      <c r="A17">
        <v>70</v>
      </c>
      <c r="B17" s="56">
        <v>2.6548408790111291E-2</v>
      </c>
      <c r="C17" s="57">
        <v>2.2266545960031001E-2</v>
      </c>
      <c r="D17" s="57">
        <v>2.1293589978274401E-2</v>
      </c>
      <c r="E17" s="57">
        <v>2.1179041178992591E-2</v>
      </c>
      <c r="F17" s="57">
        <v>1.8558588701553257E-2</v>
      </c>
      <c r="G17" s="57"/>
      <c r="H17" s="57"/>
      <c r="I17" s="57"/>
      <c r="J17" s="57"/>
      <c r="K17" s="57"/>
      <c r="L17" s="57"/>
      <c r="M17" s="57"/>
      <c r="N17" s="57"/>
      <c r="O17" s="57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4"/>
    </row>
    <row r="18" spans="1:82">
      <c r="A18">
        <v>75</v>
      </c>
      <c r="B18" s="56">
        <v>4.2649010245407321E-2</v>
      </c>
      <c r="C18" s="57">
        <v>3.5952999129958758E-2</v>
      </c>
      <c r="D18" s="57">
        <v>3.2343679378202955E-2</v>
      </c>
      <c r="E18" s="57">
        <v>2.8090272352871582E-2</v>
      </c>
      <c r="F18" s="57">
        <v>2.6524109752554575E-2</v>
      </c>
      <c r="G18" s="57"/>
      <c r="H18" s="57"/>
      <c r="I18" s="57"/>
      <c r="J18" s="57"/>
      <c r="K18" s="57"/>
      <c r="L18" s="57"/>
      <c r="M18" s="57"/>
      <c r="N18" s="57"/>
      <c r="O18" s="57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4"/>
    </row>
    <row r="19" spans="1:82">
      <c r="A19">
        <v>80</v>
      </c>
      <c r="B19" s="56">
        <v>5.0858153401669333E-2</v>
      </c>
      <c r="C19" s="57">
        <v>4.81529922429405E-2</v>
      </c>
      <c r="D19" s="57">
        <v>4.9165993342466102E-2</v>
      </c>
      <c r="E19" s="57">
        <v>4.2159199837670275E-2</v>
      </c>
      <c r="F19" s="57">
        <v>4.1710642618402523E-2</v>
      </c>
      <c r="G19" s="57"/>
      <c r="H19" s="57"/>
      <c r="I19" s="57"/>
      <c r="J19" s="57"/>
      <c r="K19" s="57"/>
      <c r="L19" s="57"/>
      <c r="M19" s="57"/>
      <c r="N19" s="57"/>
      <c r="O19" s="57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4"/>
    </row>
    <row r="20" spans="1:82">
      <c r="A20">
        <v>85</v>
      </c>
      <c r="B20" s="56">
        <v>6.3508647857469125E-2</v>
      </c>
      <c r="C20" s="57">
        <v>6.6423807887247957E-2</v>
      </c>
      <c r="D20" s="57">
        <v>7.5429972812967871E-2</v>
      </c>
      <c r="E20" s="57">
        <v>6.4246852850268113E-2</v>
      </c>
      <c r="F20" s="57">
        <v>6.6134991788552269E-2</v>
      </c>
      <c r="G20" s="57"/>
      <c r="H20" s="57"/>
      <c r="I20" s="57"/>
      <c r="J20" s="57"/>
      <c r="K20" s="57"/>
      <c r="L20" s="57"/>
      <c r="M20" s="57"/>
      <c r="N20" s="57"/>
      <c r="O20" s="57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4"/>
    </row>
    <row r="21" spans="1:82">
      <c r="A21">
        <v>90</v>
      </c>
      <c r="B21" s="56">
        <v>8.6965388712450742E-2</v>
      </c>
      <c r="C21" s="57">
        <v>9.7196119502153733E-2</v>
      </c>
      <c r="D21" s="57">
        <v>0.11787740351928253</v>
      </c>
      <c r="E21" s="57">
        <v>0.10093866024455968</v>
      </c>
      <c r="F21" s="57">
        <v>0.10660374062783386</v>
      </c>
      <c r="G21" s="57"/>
      <c r="H21" s="57"/>
      <c r="I21" s="57"/>
      <c r="J21" s="57"/>
      <c r="K21" s="57"/>
      <c r="L21" s="57"/>
      <c r="M21" s="57"/>
      <c r="N21" s="57"/>
      <c r="O21" s="57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4"/>
    </row>
    <row r="22" spans="1:82">
      <c r="A22">
        <v>95</v>
      </c>
      <c r="B22" s="56">
        <v>0.13058741217237932</v>
      </c>
      <c r="C22" s="57">
        <v>0.15086856236689491</v>
      </c>
      <c r="D22" s="57">
        <v>0.18763966449499317</v>
      </c>
      <c r="E22" s="57">
        <v>0.16349685094406885</v>
      </c>
      <c r="F22" s="57">
        <v>0.17469090747214555</v>
      </c>
      <c r="G22" s="57"/>
      <c r="H22" s="57"/>
      <c r="I22" s="57"/>
      <c r="J22" s="57"/>
      <c r="K22" s="57"/>
      <c r="L22" s="57"/>
      <c r="M22" s="57"/>
      <c r="N22" s="57"/>
      <c r="O22" s="57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4"/>
    </row>
    <row r="23" spans="1:82" ht="10.8" thickBot="1">
      <c r="A23">
        <v>100</v>
      </c>
      <c r="B23" s="58">
        <v>0.21502922311421174</v>
      </c>
      <c r="C23" s="59">
        <v>0.24841238570227661</v>
      </c>
      <c r="D23" s="59">
        <v>0.30424693451776025</v>
      </c>
      <c r="E23" s="59">
        <v>0.27302815048853601</v>
      </c>
      <c r="F23" s="59">
        <v>0.29102136589574601</v>
      </c>
      <c r="G23" s="59"/>
      <c r="H23" s="59"/>
      <c r="I23" s="59"/>
      <c r="J23" s="59"/>
      <c r="K23" s="59"/>
      <c r="L23" s="59"/>
      <c r="M23" s="59"/>
      <c r="N23" s="59"/>
      <c r="O23" s="59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7"/>
    </row>
    <row r="24" spans="1:82" ht="10.8" thickTop="1"/>
  </sheetData>
  <phoneticPr fontId="0" type="noConversion"/>
  <pageMargins left="0.75" right="0.75" top="1" bottom="1" header="0.5" footer="0.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D24"/>
  <sheetViews>
    <sheetView zoomScaleNormal="100" workbookViewId="0">
      <selection sqref="A1:CD100"/>
    </sheetView>
  </sheetViews>
  <sheetFormatPr baseColWidth="10" defaultColWidth="9.140625" defaultRowHeight="10.199999999999999"/>
  <sheetData>
    <row r="1" spans="1:82" ht="10.8" thickTop="1">
      <c r="A1" s="3" t="s">
        <v>58</v>
      </c>
      <c r="B1" s="19">
        <v>1980.6710205078125</v>
      </c>
      <c r="C1" s="20">
        <v>1991.66796875</v>
      </c>
      <c r="D1" s="20">
        <v>1996.5860595703125</v>
      </c>
      <c r="E1" s="20">
        <v>2000.5860595703125</v>
      </c>
      <c r="F1" s="20">
        <v>2010.7099609375</v>
      </c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</row>
    <row r="2" spans="1:82">
      <c r="A2">
        <v>0</v>
      </c>
      <c r="B2" s="26">
        <v>5.8872060440669928E-2</v>
      </c>
      <c r="C2" s="27">
        <v>3.0824658577031126E-2</v>
      </c>
      <c r="D2" s="27">
        <v>2.6198373658719944E-2</v>
      </c>
      <c r="E2" s="27">
        <v>1.8484348361379445E-2</v>
      </c>
      <c r="F2" s="27">
        <v>1.2949570813361316E-2</v>
      </c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8"/>
    </row>
    <row r="3" spans="1:82">
      <c r="A3">
        <v>1</v>
      </c>
      <c r="B3" s="26">
        <v>2.9917314753203383E-3</v>
      </c>
      <c r="C3" s="27">
        <v>1.3511733369046446E-3</v>
      </c>
      <c r="D3" s="27">
        <v>1.109429542674219E-3</v>
      </c>
      <c r="E3" s="27">
        <v>8.8251223327557877E-4</v>
      </c>
      <c r="F3" s="27">
        <v>6.2988562013294451E-4</v>
      </c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8"/>
    </row>
    <row r="4" spans="1:82">
      <c r="A4">
        <v>5</v>
      </c>
      <c r="B4" s="26">
        <v>6.9706747413999712E-4</v>
      </c>
      <c r="C4" s="27">
        <v>5.169025169495645E-4</v>
      </c>
      <c r="D4" s="27">
        <v>4.5673800415068776E-4</v>
      </c>
      <c r="E4" s="27">
        <v>3.8188223166010489E-4</v>
      </c>
      <c r="F4" s="27">
        <v>3.3222189551281896E-4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8"/>
    </row>
    <row r="5" spans="1:82">
      <c r="A5">
        <v>10</v>
      </c>
      <c r="B5" s="26">
        <v>7.0300747992150332E-4</v>
      </c>
      <c r="C5" s="27">
        <v>5.2815114701942488E-4</v>
      </c>
      <c r="D5" s="27">
        <v>5.5498532550818836E-4</v>
      </c>
      <c r="E5" s="27">
        <v>4.5505136398542914E-4</v>
      </c>
      <c r="F5" s="27">
        <v>4.3287047773244764E-4</v>
      </c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8"/>
    </row>
    <row r="6" spans="1:82">
      <c r="A6">
        <v>15</v>
      </c>
      <c r="B6" s="26">
        <v>1.4240872426704559E-3</v>
      </c>
      <c r="C6" s="27">
        <v>1.4335274769691347E-3</v>
      </c>
      <c r="D6" s="27">
        <v>1.5711355052335041E-3</v>
      </c>
      <c r="E6" s="27">
        <v>1.64555271646029E-3</v>
      </c>
      <c r="F6" s="27">
        <v>1.6405979774641087E-3</v>
      </c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8"/>
    </row>
    <row r="7" spans="1:82">
      <c r="A7">
        <v>20</v>
      </c>
      <c r="B7" s="26">
        <v>2.1016034761788963E-3</v>
      </c>
      <c r="C7" s="27">
        <v>2.4362515554661609E-3</v>
      </c>
      <c r="D7" s="27">
        <v>2.4042458599573433E-3</v>
      </c>
      <c r="E7" s="27">
        <v>2.3042349078645991E-3</v>
      </c>
      <c r="F7" s="27">
        <v>2.5811336518976801E-3</v>
      </c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8"/>
    </row>
    <row r="8" spans="1:82">
      <c r="A8">
        <v>25</v>
      </c>
      <c r="B8" s="26">
        <v>2.5191110369961749E-3</v>
      </c>
      <c r="C8" s="27">
        <v>2.954464941184023E-3</v>
      </c>
      <c r="D8" s="27">
        <v>3.0119077252064169E-3</v>
      </c>
      <c r="E8" s="27">
        <v>2.4672034429184717E-3</v>
      </c>
      <c r="F8" s="27">
        <v>2.5776125890269955E-3</v>
      </c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8"/>
    </row>
    <row r="9" spans="1:82">
      <c r="A9">
        <v>30</v>
      </c>
      <c r="B9" s="26">
        <v>3.1086679677003455E-3</v>
      </c>
      <c r="C9" s="27">
        <v>3.3407455583576041E-3</v>
      </c>
      <c r="D9" s="27">
        <v>3.6742665496025963E-3</v>
      </c>
      <c r="E9" s="27">
        <v>3.0970041358985585E-3</v>
      </c>
      <c r="F9" s="27">
        <v>2.5465954750758676E-3</v>
      </c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8"/>
    </row>
    <row r="10" spans="1:82">
      <c r="A10">
        <v>35</v>
      </c>
      <c r="B10" s="26">
        <v>4.0718682068455339E-3</v>
      </c>
      <c r="C10" s="27">
        <v>3.9711954291706915E-3</v>
      </c>
      <c r="D10" s="27">
        <v>4.1288825787673903E-3</v>
      </c>
      <c r="E10" s="27">
        <v>3.7239078693648612E-3</v>
      </c>
      <c r="F10" s="27">
        <v>2.8898257355594414E-3</v>
      </c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8"/>
    </row>
    <row r="11" spans="1:82">
      <c r="A11">
        <v>40</v>
      </c>
      <c r="B11" s="26">
        <v>5.9676419851937322E-3</v>
      </c>
      <c r="C11" s="27">
        <v>4.9662081374216051E-3</v>
      </c>
      <c r="D11" s="27">
        <v>5.0155475398575254E-3</v>
      </c>
      <c r="E11" s="27">
        <v>4.5067023225887114E-3</v>
      </c>
      <c r="F11" s="27">
        <v>4.0117296877689732E-3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8"/>
    </row>
    <row r="12" spans="1:82">
      <c r="A12">
        <v>45</v>
      </c>
      <c r="B12" s="26">
        <v>7.3902891863149049E-3</v>
      </c>
      <c r="C12" s="27">
        <v>6.2668117795378203E-3</v>
      </c>
      <c r="D12" s="27">
        <v>6.2234266475642216E-3</v>
      </c>
      <c r="E12" s="27">
        <v>5.9077487656616339E-3</v>
      </c>
      <c r="F12" s="27">
        <v>5.3808357966407677E-3</v>
      </c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8"/>
    </row>
    <row r="13" spans="1:82">
      <c r="A13">
        <v>50</v>
      </c>
      <c r="B13" s="26">
        <v>1.0926682147421275E-2</v>
      </c>
      <c r="C13" s="27">
        <v>9.6615993933798251E-3</v>
      </c>
      <c r="D13" s="27">
        <v>8.3275395413129512E-3</v>
      </c>
      <c r="E13" s="27">
        <v>7.9404229564865227E-3</v>
      </c>
      <c r="F13" s="27">
        <v>7.3161940572703792E-3</v>
      </c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8"/>
    </row>
    <row r="14" spans="1:82">
      <c r="A14">
        <v>55</v>
      </c>
      <c r="B14" s="26">
        <v>1.3366121593628077E-2</v>
      </c>
      <c r="C14" s="27">
        <v>1.2982693524650405E-2</v>
      </c>
      <c r="D14" s="27">
        <v>1.2217112990936474E-2</v>
      </c>
      <c r="E14" s="27">
        <v>1.073818209476631E-2</v>
      </c>
      <c r="F14" s="27">
        <v>9.8889774233886577E-3</v>
      </c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8"/>
    </row>
    <row r="15" spans="1:82">
      <c r="A15">
        <v>60</v>
      </c>
      <c r="B15" s="26">
        <v>1.8798379153643539E-2</v>
      </c>
      <c r="C15" s="27">
        <v>1.9134519366662526E-2</v>
      </c>
      <c r="D15" s="27">
        <v>1.7762385884430614E-2</v>
      </c>
      <c r="E15" s="27">
        <v>1.6865123167909713E-2</v>
      </c>
      <c r="F15" s="27">
        <v>1.3273046772946837E-2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8"/>
    </row>
    <row r="16" spans="1:82">
      <c r="A16">
        <v>65</v>
      </c>
      <c r="B16" s="26">
        <v>2.8653125174602057E-2</v>
      </c>
      <c r="C16" s="27">
        <v>2.4503289873896113E-2</v>
      </c>
      <c r="D16" s="27">
        <v>2.5148954128336388E-2</v>
      </c>
      <c r="E16" s="27">
        <v>2.2492835335742787E-2</v>
      </c>
      <c r="F16" s="27">
        <v>1.8334121852483128E-2</v>
      </c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8"/>
    </row>
    <row r="17" spans="1:82">
      <c r="A17">
        <v>70</v>
      </c>
      <c r="B17" s="26">
        <v>3.7304052091074E-2</v>
      </c>
      <c r="C17" s="27">
        <v>3.2664387526547524E-2</v>
      </c>
      <c r="D17" s="27">
        <v>3.2561041846830611E-2</v>
      </c>
      <c r="E17" s="27">
        <v>3.2623888031058652E-2</v>
      </c>
      <c r="F17" s="27">
        <v>2.821198150010374E-2</v>
      </c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8"/>
    </row>
    <row r="18" spans="1:82">
      <c r="A18">
        <v>75</v>
      </c>
      <c r="B18" s="26">
        <v>5.2713700262527016E-2</v>
      </c>
      <c r="C18" s="27">
        <v>4.7826787912673467E-2</v>
      </c>
      <c r="D18" s="27">
        <v>4.2364822351967688E-2</v>
      </c>
      <c r="E18" s="27">
        <v>4.0210744847532974E-2</v>
      </c>
      <c r="F18" s="27">
        <v>3.7489561212772943E-2</v>
      </c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8"/>
    </row>
    <row r="19" spans="1:82">
      <c r="A19">
        <v>80</v>
      </c>
      <c r="B19" s="26">
        <v>5.9629374001727221E-2</v>
      </c>
      <c r="C19" s="27">
        <v>5.7951540571122596E-2</v>
      </c>
      <c r="D19" s="27">
        <v>5.7641685629770296E-2</v>
      </c>
      <c r="E19" s="27">
        <v>5.1477676680361531E-2</v>
      </c>
      <c r="F19" s="27">
        <v>5.2072643038808437E-2</v>
      </c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8"/>
    </row>
    <row r="20" spans="1:82">
      <c r="A20">
        <v>85</v>
      </c>
      <c r="B20" s="26">
        <v>7.0922259012636338E-2</v>
      </c>
      <c r="C20" s="27">
        <v>7.3103658051543133E-2</v>
      </c>
      <c r="D20" s="27">
        <v>8.0202275084381339E-2</v>
      </c>
      <c r="E20" s="27">
        <v>6.8233916192808067E-2</v>
      </c>
      <c r="F20" s="27">
        <v>7.3922143140728647E-2</v>
      </c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8"/>
    </row>
    <row r="21" spans="1:82">
      <c r="A21">
        <v>90</v>
      </c>
      <c r="B21" s="26">
        <v>9.3255830969512468E-2</v>
      </c>
      <c r="C21" s="27">
        <v>9.9947960706306765E-2</v>
      </c>
      <c r="D21" s="27">
        <v>0.11670089017484797</v>
      </c>
      <c r="E21" s="27">
        <v>9.695958264475632E-2</v>
      </c>
      <c r="F21" s="27">
        <v>0.10961520596771972</v>
      </c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8"/>
    </row>
    <row r="22" spans="1:82">
      <c r="A22">
        <v>95</v>
      </c>
      <c r="B22" s="26">
        <v>0.13556280863053718</v>
      </c>
      <c r="C22" s="27">
        <v>0.14810491458770153</v>
      </c>
      <c r="D22" s="27">
        <v>0.17758207030042891</v>
      </c>
      <c r="E22" s="27">
        <v>0.14770331989264604</v>
      </c>
      <c r="F22" s="27">
        <v>0.16978463530821</v>
      </c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8"/>
    </row>
    <row r="23" spans="1:82" ht="10.8" thickBot="1">
      <c r="A23">
        <v>100</v>
      </c>
      <c r="B23" s="29">
        <v>0.21785937115817874</v>
      </c>
      <c r="C23" s="30">
        <v>0.23786235103774309</v>
      </c>
      <c r="D23" s="30">
        <v>0.28259308210203254</v>
      </c>
      <c r="E23" s="30">
        <v>0.24121197037925859</v>
      </c>
      <c r="F23" s="30">
        <v>0.2746991370216646</v>
      </c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1"/>
    </row>
    <row r="24" spans="1:82" ht="10.8" thickTop="1"/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D24"/>
  <sheetViews>
    <sheetView workbookViewId="0">
      <selection sqref="A1:CD100"/>
    </sheetView>
  </sheetViews>
  <sheetFormatPr baseColWidth="10" defaultColWidth="9.140625" defaultRowHeight="10.199999999999999"/>
  <sheetData>
    <row r="1" spans="1:82" ht="10.8" thickTop="1">
      <c r="A1" s="3" t="s">
        <v>59</v>
      </c>
      <c r="B1" s="21">
        <v>1980.6710205078125</v>
      </c>
      <c r="C1" s="21">
        <v>1991.66796875</v>
      </c>
      <c r="D1" s="21">
        <v>1996.5860595703125</v>
      </c>
      <c r="E1" s="21">
        <v>2000.5860595703125</v>
      </c>
      <c r="F1" s="21">
        <v>2010.7099609375</v>
      </c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</row>
    <row r="2" spans="1:82">
      <c r="A2">
        <v>0</v>
      </c>
      <c r="B2" s="32">
        <v>4.5268937969766367E-2</v>
      </c>
      <c r="C2" s="33">
        <v>2.3837965929771533E-2</v>
      </c>
      <c r="D2" s="33">
        <v>2.0247934108661429E-2</v>
      </c>
      <c r="E2" s="33">
        <v>1.4603343713995376E-2</v>
      </c>
      <c r="F2" s="33">
        <v>1.0488153434169631E-2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4"/>
    </row>
    <row r="3" spans="1:82">
      <c r="A3">
        <v>1</v>
      </c>
      <c r="B3" s="32">
        <v>2.7039685566807169E-3</v>
      </c>
      <c r="C3" s="33">
        <v>1.1540527290383443E-3</v>
      </c>
      <c r="D3" s="33">
        <v>9.3275911246187078E-4</v>
      </c>
      <c r="E3" s="33">
        <v>7.6843391974586422E-4</v>
      </c>
      <c r="F3" s="33">
        <v>5.2104267887566531E-4</v>
      </c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4"/>
    </row>
    <row r="4" spans="1:82">
      <c r="A4">
        <v>5</v>
      </c>
      <c r="B4" s="32">
        <v>5.0748031744588722E-4</v>
      </c>
      <c r="C4" s="33">
        <v>3.5842596509149554E-4</v>
      </c>
      <c r="D4" s="33">
        <v>3.0998474472858204E-4</v>
      </c>
      <c r="E4" s="33">
        <v>2.7104570564266792E-4</v>
      </c>
      <c r="F4" s="33">
        <v>2.5030619468549168E-4</v>
      </c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4"/>
    </row>
    <row r="5" spans="1:82">
      <c r="A5">
        <v>10</v>
      </c>
      <c r="B5" s="32">
        <v>4.5993643340448568E-4</v>
      </c>
      <c r="C5" s="33">
        <v>3.1794850354833706E-4</v>
      </c>
      <c r="D5" s="33">
        <v>3.3921379986014545E-4</v>
      </c>
      <c r="E5" s="33">
        <v>2.8734642751702694E-4</v>
      </c>
      <c r="F5" s="33">
        <v>2.9006599067788174E-4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4"/>
    </row>
    <row r="6" spans="1:82">
      <c r="A6">
        <v>15</v>
      </c>
      <c r="B6" s="32">
        <v>7.3416467796502487E-4</v>
      </c>
      <c r="C6" s="33">
        <v>5.016783708593817E-4</v>
      </c>
      <c r="D6" s="33">
        <v>5.2480642728722562E-4</v>
      </c>
      <c r="E6" s="33">
        <v>4.8682746419259252E-4</v>
      </c>
      <c r="F6" s="33">
        <v>4.5294465168319904E-4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4"/>
    </row>
    <row r="7" spans="1:82">
      <c r="A7">
        <v>20</v>
      </c>
      <c r="B7" s="32">
        <v>8.9484788203148002E-4</v>
      </c>
      <c r="C7" s="33">
        <v>6.9801921575749859E-4</v>
      </c>
      <c r="D7" s="33">
        <v>6.5178524835502458E-4</v>
      </c>
      <c r="E7" s="33">
        <v>5.6504185865429042E-4</v>
      </c>
      <c r="F7" s="33">
        <v>5.8139051439007393E-4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4"/>
    </row>
    <row r="8" spans="1:82">
      <c r="A8">
        <v>25</v>
      </c>
      <c r="B8" s="32">
        <v>1.1259118022122778E-3</v>
      </c>
      <c r="C8" s="33">
        <v>9.1779094991980073E-4</v>
      </c>
      <c r="D8" s="33">
        <v>9.0142551699231752E-4</v>
      </c>
      <c r="E8" s="33">
        <v>7.1455763854418226E-4</v>
      </c>
      <c r="F8" s="33">
        <v>7.2485003142007799E-4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4"/>
    </row>
    <row r="9" spans="1:82">
      <c r="A9">
        <v>30</v>
      </c>
      <c r="B9" s="32">
        <v>1.4948700828026876E-3</v>
      </c>
      <c r="C9" s="33">
        <v>1.1441452960947172E-3</v>
      </c>
      <c r="D9" s="33">
        <v>1.2512350110976014E-3</v>
      </c>
      <c r="E9" s="33">
        <v>1.059380491333839E-3</v>
      </c>
      <c r="F9" s="33">
        <v>9.0070382314396194E-4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4"/>
    </row>
    <row r="10" spans="1:82">
      <c r="A10">
        <v>35</v>
      </c>
      <c r="B10" s="32">
        <v>2.1967521443205362E-3</v>
      </c>
      <c r="C10" s="33">
        <v>1.5715025449512534E-3</v>
      </c>
      <c r="D10" s="33">
        <v>1.5986476675509593E-3</v>
      </c>
      <c r="E10" s="33">
        <v>1.4811649187992137E-3</v>
      </c>
      <c r="F10" s="33">
        <v>1.171429711020699E-3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4"/>
    </row>
    <row r="11" spans="1:82">
      <c r="A11">
        <v>40</v>
      </c>
      <c r="B11" s="32">
        <v>3.1431685828086412E-3</v>
      </c>
      <c r="C11" s="33">
        <v>2.2069178382129076E-3</v>
      </c>
      <c r="D11" s="33">
        <v>2.2303299057994633E-3</v>
      </c>
      <c r="E11" s="33">
        <v>2.0487393227594593E-3</v>
      </c>
      <c r="F11" s="33">
        <v>1.8155029183016182E-3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4"/>
    </row>
    <row r="12" spans="1:82">
      <c r="A12">
        <v>45</v>
      </c>
      <c r="B12" s="32">
        <v>3.982665995370378E-3</v>
      </c>
      <c r="C12" s="33">
        <v>3.1510146449916392E-3</v>
      </c>
      <c r="D12" s="33">
        <v>3.1303588522222786E-3</v>
      </c>
      <c r="E12" s="33">
        <v>2.9357056203155227E-3</v>
      </c>
      <c r="F12" s="33">
        <v>2.7342614076523667E-3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4"/>
    </row>
    <row r="13" spans="1:82">
      <c r="A13">
        <v>50</v>
      </c>
      <c r="B13" s="32">
        <v>5.9387909087724559E-3</v>
      </c>
      <c r="C13" s="33">
        <v>5.0380709962135305E-3</v>
      </c>
      <c r="D13" s="33">
        <v>4.5144267199296369E-3</v>
      </c>
      <c r="E13" s="33">
        <v>4.2010987556145686E-3</v>
      </c>
      <c r="F13" s="33">
        <v>3.7817917663024864E-3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4"/>
    </row>
    <row r="14" spans="1:82">
      <c r="A14">
        <v>55</v>
      </c>
      <c r="B14" s="32">
        <v>7.469476541142021E-3</v>
      </c>
      <c r="C14" s="33">
        <v>7.1834041548955634E-3</v>
      </c>
      <c r="D14" s="33">
        <v>7.1254970483100501E-3</v>
      </c>
      <c r="E14" s="33">
        <v>6.0389367439523745E-3</v>
      </c>
      <c r="F14" s="33">
        <v>5.2926132426179993E-3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4"/>
    </row>
    <row r="15" spans="1:82">
      <c r="A15">
        <v>60</v>
      </c>
      <c r="B15" s="32">
        <v>1.1659719973212806E-2</v>
      </c>
      <c r="C15" s="33">
        <v>1.1023275666221473E-2</v>
      </c>
      <c r="D15" s="33">
        <v>1.0579550827351196E-2</v>
      </c>
      <c r="E15" s="33">
        <v>9.9836170228170384E-3</v>
      </c>
      <c r="F15" s="33">
        <v>7.5754329338248031E-3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4"/>
    </row>
    <row r="16" spans="1:82">
      <c r="A16">
        <v>65</v>
      </c>
      <c r="B16" s="32">
        <v>1.8486284549849189E-2</v>
      </c>
      <c r="C16" s="33">
        <v>1.4717525307087913E-2</v>
      </c>
      <c r="D16" s="33">
        <v>1.5764369388244322E-2</v>
      </c>
      <c r="E16" s="33">
        <v>1.3852992867967861E-2</v>
      </c>
      <c r="F16" s="33">
        <v>1.1174036895313976E-2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4"/>
    </row>
    <row r="17" spans="1:82">
      <c r="A17">
        <v>70</v>
      </c>
      <c r="B17" s="32">
        <v>2.6548408790111291E-2</v>
      </c>
      <c r="C17" s="33">
        <v>2.2266545960031001E-2</v>
      </c>
      <c r="D17" s="33">
        <v>2.1293589978274401E-2</v>
      </c>
      <c r="E17" s="33">
        <v>2.1179041178992591E-2</v>
      </c>
      <c r="F17" s="33">
        <v>1.8558588701553257E-2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4"/>
    </row>
    <row r="18" spans="1:82">
      <c r="A18">
        <v>75</v>
      </c>
      <c r="B18" s="32">
        <v>4.2649010245407321E-2</v>
      </c>
      <c r="C18" s="33">
        <v>3.5952999129958758E-2</v>
      </c>
      <c r="D18" s="33">
        <v>3.2343679378202955E-2</v>
      </c>
      <c r="E18" s="33">
        <v>2.8090272352871582E-2</v>
      </c>
      <c r="F18" s="33">
        <v>2.6524109752554575E-2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4"/>
    </row>
    <row r="19" spans="1:82">
      <c r="A19">
        <v>80</v>
      </c>
      <c r="B19" s="32">
        <v>5.0858153401669333E-2</v>
      </c>
      <c r="C19" s="33">
        <v>4.81529922429405E-2</v>
      </c>
      <c r="D19" s="33">
        <v>4.9165993342466102E-2</v>
      </c>
      <c r="E19" s="33">
        <v>4.2159199837670275E-2</v>
      </c>
      <c r="F19" s="33">
        <v>4.1710642618402523E-2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4"/>
    </row>
    <row r="20" spans="1:82">
      <c r="A20">
        <v>85</v>
      </c>
      <c r="B20" s="32">
        <v>6.3508647857469125E-2</v>
      </c>
      <c r="C20" s="33">
        <v>6.6423807887247957E-2</v>
      </c>
      <c r="D20" s="33">
        <v>7.5429972812967871E-2</v>
      </c>
      <c r="E20" s="33">
        <v>6.4246852850268113E-2</v>
      </c>
      <c r="F20" s="33">
        <v>6.6134991788552269E-2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4"/>
    </row>
    <row r="21" spans="1:82">
      <c r="A21">
        <v>90</v>
      </c>
      <c r="B21" s="32">
        <v>8.6965388712450742E-2</v>
      </c>
      <c r="C21" s="33">
        <v>9.7196119502153733E-2</v>
      </c>
      <c r="D21" s="33">
        <v>0.11787740351928253</v>
      </c>
      <c r="E21" s="33">
        <v>0.10093866024455968</v>
      </c>
      <c r="F21" s="33">
        <v>0.10660374062783386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4"/>
    </row>
    <row r="22" spans="1:82">
      <c r="A22">
        <v>95</v>
      </c>
      <c r="B22" s="32">
        <v>0.13058741217237932</v>
      </c>
      <c r="C22" s="33">
        <v>0.15086856236689491</v>
      </c>
      <c r="D22" s="33">
        <v>0.18763966449499317</v>
      </c>
      <c r="E22" s="33">
        <v>0.16349685094406885</v>
      </c>
      <c r="F22" s="33">
        <v>0.17469090747214555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4"/>
    </row>
    <row r="23" spans="1:82" ht="10.8" thickBot="1">
      <c r="A23">
        <v>100</v>
      </c>
      <c r="B23" s="35">
        <v>0.21502922311421174</v>
      </c>
      <c r="C23" s="36">
        <v>0.24841238570227661</v>
      </c>
      <c r="D23" s="36">
        <v>0.30424693451776025</v>
      </c>
      <c r="E23" s="36">
        <v>0.27302815048853601</v>
      </c>
      <c r="F23" s="36">
        <v>0.29102136589574601</v>
      </c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7"/>
    </row>
    <row r="24" spans="1:82" ht="10.8" thickTop="1"/>
  </sheetData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CFFCC"/>
  </sheetPr>
  <dimension ref="A1:O46"/>
  <sheetViews>
    <sheetView workbookViewId="0">
      <selection sqref="A1:O100"/>
    </sheetView>
  </sheetViews>
  <sheetFormatPr baseColWidth="10" defaultColWidth="9.140625" defaultRowHeight="10.199999999999999"/>
  <cols>
    <col min="2" max="15" width="9.28515625" bestFit="1" customWidth="1"/>
  </cols>
  <sheetData>
    <row r="1" spans="1:15"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0</v>
      </c>
      <c r="K1" t="s">
        <v>1</v>
      </c>
      <c r="L1" t="s">
        <v>2</v>
      </c>
      <c r="M1" t="s">
        <v>3</v>
      </c>
      <c r="N1" s="3" t="s">
        <v>21</v>
      </c>
      <c r="O1" s="3" t="s">
        <v>22</v>
      </c>
    </row>
    <row r="2" spans="1:15">
      <c r="A2">
        <v>0</v>
      </c>
      <c r="B2" s="22">
        <v>0.1899465727762599</v>
      </c>
      <c r="C2" s="22">
        <v>0.14991920751612942</v>
      </c>
      <c r="D2" s="22">
        <v>0.11832679291738896</v>
      </c>
      <c r="E2" s="22">
        <v>9.3391835203026283E-2</v>
      </c>
      <c r="F2" s="22">
        <v>7.37114111482646E-2</v>
      </c>
      <c r="G2" s="22">
        <v>5.8178234978002015E-2</v>
      </c>
      <c r="H2" s="22">
        <v>4.5918358805362602E-2</v>
      </c>
      <c r="I2" s="22">
        <v>3.6242001431897534E-2</v>
      </c>
      <c r="J2" s="22">
        <v>2.8604738975040799E-2</v>
      </c>
      <c r="K2" s="22">
        <v>2.2576873779108442E-2</v>
      </c>
      <c r="L2" s="22">
        <v>1.7819258203423876E-2</v>
      </c>
      <c r="M2" s="22">
        <v>1.406421305389554E-2</v>
      </c>
      <c r="N2" s="22">
        <v>1.1100467065871414E-2</v>
      </c>
      <c r="O2" s="22">
        <v>8.7612700837439335E-3</v>
      </c>
    </row>
    <row r="3" spans="1:15">
      <c r="A3">
        <v>1</v>
      </c>
      <c r="B3" s="22">
        <v>8.6514312283441207E-3</v>
      </c>
      <c r="C3" s="22">
        <v>6.8463350623417327E-3</v>
      </c>
      <c r="D3" s="22">
        <v>5.4178670035872328E-3</v>
      </c>
      <c r="E3" s="22">
        <v>4.287444684093397E-3</v>
      </c>
      <c r="F3" s="22">
        <v>3.3928817202396578E-3</v>
      </c>
      <c r="G3" s="22">
        <v>2.6849667379371957E-3</v>
      </c>
      <c r="H3" s="22">
        <v>2.1247561743236638E-3</v>
      </c>
      <c r="I3" s="22">
        <v>1.6814319285739069E-3</v>
      </c>
      <c r="J3" s="22">
        <v>1.3306060076882496E-3</v>
      </c>
      <c r="K3" s="22">
        <v>1.0529789030458746E-3</v>
      </c>
      <c r="L3" s="22">
        <v>8.3327789281969632E-4</v>
      </c>
      <c r="M3" s="22">
        <v>6.5941686452931989E-4</v>
      </c>
      <c r="N3" s="22">
        <v>5.2183143819437385E-4</v>
      </c>
      <c r="O3" s="22">
        <v>4.1295281412369897E-4</v>
      </c>
    </row>
    <row r="4" spans="1:15">
      <c r="A4">
        <v>5</v>
      </c>
      <c r="B4" s="22">
        <v>1.2478581199038921E-3</v>
      </c>
      <c r="C4" s="22">
        <v>1.1090554078090188E-3</v>
      </c>
      <c r="D4" s="22">
        <v>9.8569210551369482E-4</v>
      </c>
      <c r="E4" s="22">
        <v>8.760508447377142E-4</v>
      </c>
      <c r="F4" s="22">
        <v>7.7860528482745332E-4</v>
      </c>
      <c r="G4" s="22">
        <v>6.9199886422430332E-4</v>
      </c>
      <c r="H4" s="22">
        <v>6.1502591546607139E-4</v>
      </c>
      <c r="I4" s="22">
        <v>5.4661488081904092E-4</v>
      </c>
      <c r="J4" s="22">
        <v>4.8581339488172718E-4</v>
      </c>
      <c r="K4" s="22">
        <v>4.3177502649190147E-4</v>
      </c>
      <c r="L4" s="22">
        <v>3.8374749536798858E-4</v>
      </c>
      <c r="M4" s="22">
        <v>3.4106219944604968E-4</v>
      </c>
      <c r="N4" s="22">
        <v>3.031249071200594E-4</v>
      </c>
      <c r="O4" s="22">
        <v>2.6940748481005223E-4</v>
      </c>
    </row>
    <row r="5" spans="1:15">
      <c r="A5">
        <v>10</v>
      </c>
      <c r="B5" s="22">
        <v>1.0186899790003924E-3</v>
      </c>
      <c r="C5" s="22">
        <v>9.4213444835170403E-4</v>
      </c>
      <c r="D5" s="22">
        <v>8.713321393835255E-4</v>
      </c>
      <c r="E5" s="22">
        <v>8.0585069195904171E-4</v>
      </c>
      <c r="F5" s="22">
        <v>7.4529023822112058E-4</v>
      </c>
      <c r="G5" s="22">
        <v>6.8928096076627363E-4</v>
      </c>
      <c r="H5" s="22">
        <v>6.3748083432419399E-4</v>
      </c>
      <c r="I5" s="22">
        <v>5.89573537152246E-4</v>
      </c>
      <c r="J5" s="22">
        <v>5.4526651939066555E-4</v>
      </c>
      <c r="K5" s="22">
        <v>5.04289216582723E-4</v>
      </c>
      <c r="L5" s="22">
        <v>4.6639139745056213E-4</v>
      </c>
      <c r="M5" s="22">
        <v>4.3134163583727217E-4</v>
      </c>
      <c r="N5" s="22">
        <v>3.9892589748398172E-4</v>
      </c>
      <c r="O5" s="22">
        <v>3.6894623301201153E-4</v>
      </c>
    </row>
    <row r="6" spans="1:15">
      <c r="A6">
        <v>15</v>
      </c>
      <c r="B6" s="22">
        <v>1.2372820719757133E-3</v>
      </c>
      <c r="C6" s="22">
        <v>1.2697779665449612E-3</v>
      </c>
      <c r="D6" s="22">
        <v>1.3031273311415968E-3</v>
      </c>
      <c r="E6" s="22">
        <v>1.3373525812460159E-3</v>
      </c>
      <c r="F6" s="22">
        <v>1.3724767210573086E-3</v>
      </c>
      <c r="G6" s="22">
        <v>1.4085233589553323E-3</v>
      </c>
      <c r="H6" s="22">
        <v>1.4455167233688707E-3</v>
      </c>
      <c r="I6" s="22">
        <v>1.48348167906056E-3</v>
      </c>
      <c r="J6" s="22">
        <v>1.522443743839518E-3</v>
      </c>
      <c r="K6" s="22">
        <v>1.5624291057129188E-3</v>
      </c>
      <c r="L6" s="22">
        <v>1.603464640488022E-3</v>
      </c>
      <c r="M6" s="22">
        <v>1.6455779298365147E-3</v>
      </c>
      <c r="N6" s="22">
        <v>1.6887972798332858E-3</v>
      </c>
      <c r="O6" s="22">
        <v>1.7331517399821034E-3</v>
      </c>
    </row>
    <row r="7" spans="1:15">
      <c r="A7">
        <v>20</v>
      </c>
      <c r="B7" s="22">
        <v>1.9254817853961784E-3</v>
      </c>
      <c r="C7" s="22">
        <v>1.972472331315069E-3</v>
      </c>
      <c r="D7" s="22">
        <v>2.0206096610791801E-3</v>
      </c>
      <c r="E7" s="22">
        <v>2.0699217614497164E-3</v>
      </c>
      <c r="F7" s="22">
        <v>2.1204373021926279E-3</v>
      </c>
      <c r="G7" s="22">
        <v>2.1721856527470371E-3</v>
      </c>
      <c r="H7" s="22">
        <v>2.225196899300464E-3</v>
      </c>
      <c r="I7" s="22">
        <v>2.2795018622807483E-3</v>
      </c>
      <c r="J7" s="22">
        <v>2.3351321142748805E-3</v>
      </c>
      <c r="K7" s="22">
        <v>2.3921199983851071E-3</v>
      </c>
      <c r="L7" s="22">
        <v>2.4504986470330289E-3</v>
      </c>
      <c r="M7" s="22">
        <v>2.5103020012225844E-3</v>
      </c>
      <c r="N7" s="22">
        <v>2.571564830273165E-3</v>
      </c>
      <c r="O7" s="22">
        <v>2.6343227520342857E-3</v>
      </c>
    </row>
    <row r="8" spans="1:15">
      <c r="A8">
        <v>25</v>
      </c>
      <c r="B8" s="22">
        <v>2.9784803302118495E-3</v>
      </c>
      <c r="C8" s="22">
        <v>2.9435850270162797E-3</v>
      </c>
      <c r="D8" s="22">
        <v>2.9090985504873698E-3</v>
      </c>
      <c r="E8" s="22">
        <v>2.8750161108904559E-3</v>
      </c>
      <c r="F8" s="22">
        <v>2.8413329746064791E-3</v>
      </c>
      <c r="G8" s="22">
        <v>2.8080444634745591E-3</v>
      </c>
      <c r="H8" s="22">
        <v>2.7751459541422458E-3</v>
      </c>
      <c r="I8" s="22">
        <v>2.7426328774234022E-3</v>
      </c>
      <c r="J8" s="22">
        <v>2.7105007176635894E-3</v>
      </c>
      <c r="K8" s="22">
        <v>2.6787450121129163E-3</v>
      </c>
      <c r="L8" s="22">
        <v>2.6473613503062085E-3</v>
      </c>
      <c r="M8" s="22">
        <v>2.6163453734504571E-3</v>
      </c>
      <c r="N8" s="22">
        <v>2.5856927738194284E-3</v>
      </c>
      <c r="O8" s="22">
        <v>2.5553992941553861E-3</v>
      </c>
    </row>
    <row r="9" spans="1:15">
      <c r="A9">
        <v>30</v>
      </c>
      <c r="B9" s="22">
        <v>4.3098923081983532E-3</v>
      </c>
      <c r="C9" s="22">
        <v>4.1497741319870178E-3</v>
      </c>
      <c r="D9" s="22">
        <v>3.995604556928537E-3</v>
      </c>
      <c r="E9" s="22">
        <v>3.847162584654631E-3</v>
      </c>
      <c r="F9" s="22">
        <v>3.7042354271774893E-3</v>
      </c>
      <c r="G9" s="22">
        <v>3.5666182018633309E-3</v>
      </c>
      <c r="H9" s="22">
        <v>3.4341136377380992E-3</v>
      </c>
      <c r="I9" s="22">
        <v>3.3065317927042596E-3</v>
      </c>
      <c r="J9" s="22">
        <v>3.1836897812633903E-3</v>
      </c>
      <c r="K9" s="22">
        <v>3.0654115123542407E-3</v>
      </c>
      <c r="L9" s="22">
        <v>2.9515274369304231E-3</v>
      </c>
      <c r="M9" s="22">
        <v>2.8418743049159517E-3</v>
      </c>
      <c r="N9" s="22">
        <v>2.7362949311902037E-3</v>
      </c>
      <c r="O9" s="22">
        <v>2.6346379702668235E-3</v>
      </c>
    </row>
    <row r="10" spans="1:15">
      <c r="A10">
        <v>35</v>
      </c>
      <c r="B10" s="22">
        <v>5.8806458027253457E-3</v>
      </c>
      <c r="C10" s="22">
        <v>5.5711936799004063E-3</v>
      </c>
      <c r="D10" s="22">
        <v>5.2780255876961309E-3</v>
      </c>
      <c r="E10" s="22">
        <v>5.0002846256949878E-3</v>
      </c>
      <c r="F10" s="22">
        <v>4.7371589854067883E-3</v>
      </c>
      <c r="G10" s="22">
        <v>4.4878795774353037E-3</v>
      </c>
      <c r="H10" s="22">
        <v>4.2517177835084486E-3</v>
      </c>
      <c r="I10" s="22">
        <v>4.0279833268014173E-3</v>
      </c>
      <c r="J10" s="22">
        <v>3.8160222543279663E-3</v>
      </c>
      <c r="K10" s="22">
        <v>3.6152150255025655E-3</v>
      </c>
      <c r="L10" s="22">
        <v>3.4249747012864875E-3</v>
      </c>
      <c r="M10" s="22">
        <v>3.2447452286248914E-3</v>
      </c>
      <c r="N10" s="22">
        <v>3.0739998151604847E-3</v>
      </c>
      <c r="O10" s="22">
        <v>2.9122393894732189E-3</v>
      </c>
    </row>
    <row r="11" spans="1:15">
      <c r="A11">
        <v>40</v>
      </c>
      <c r="B11" s="22">
        <v>8.1470168445937942E-3</v>
      </c>
      <c r="C11" s="22">
        <v>7.6616790181413871E-3</v>
      </c>
      <c r="D11" s="22">
        <v>7.2052539594270023E-3</v>
      </c>
      <c r="E11" s="22">
        <v>6.776019263781758E-3</v>
      </c>
      <c r="F11" s="22">
        <v>6.3723551344181655E-3</v>
      </c>
      <c r="G11" s="22">
        <v>5.9927382698263523E-3</v>
      </c>
      <c r="H11" s="22">
        <v>5.6357361153131077E-3</v>
      </c>
      <c r="I11" s="22">
        <v>5.3000014569908483E-3</v>
      </c>
      <c r="J11" s="22">
        <v>4.9842673378159884E-3</v>
      </c>
      <c r="K11" s="22">
        <v>4.6873422764914163E-3</v>
      </c>
      <c r="L11" s="22">
        <v>4.4081057711906537E-3</v>
      </c>
      <c r="M11" s="22">
        <v>4.1455040711362726E-3</v>
      </c>
      <c r="N11" s="22">
        <v>3.8985462000757768E-3</v>
      </c>
      <c r="O11" s="22">
        <v>3.6663002166487713E-3</v>
      </c>
    </row>
    <row r="12" spans="1:15">
      <c r="A12">
        <v>45</v>
      </c>
      <c r="B12" s="22">
        <v>9.218641132459137E-3</v>
      </c>
      <c r="C12" s="22">
        <v>8.7954102991768205E-3</v>
      </c>
      <c r="D12" s="22">
        <v>8.3916101320487824E-3</v>
      </c>
      <c r="E12" s="22">
        <v>8.0063485628287731E-3</v>
      </c>
      <c r="F12" s="22">
        <v>7.6387744784158808E-3</v>
      </c>
      <c r="G12" s="22">
        <v>7.2880758405903705E-3</v>
      </c>
      <c r="H12" s="22">
        <v>6.9534778920730973E-3</v>
      </c>
      <c r="I12" s="22">
        <v>6.6342414449453244E-3</v>
      </c>
      <c r="J12" s="22">
        <v>6.3296612476477117E-3</v>
      </c>
      <c r="K12" s="22">
        <v>6.0390644269509818E-3</v>
      </c>
      <c r="L12" s="22">
        <v>5.7618090014561569E-3</v>
      </c>
      <c r="M12" s="22">
        <v>5.497282463340524E-3</v>
      </c>
      <c r="N12" s="22">
        <v>5.2449004252160796E-3</v>
      </c>
      <c r="O12" s="22">
        <v>5.0041053291111906E-3</v>
      </c>
    </row>
    <row r="13" spans="1:15">
      <c r="A13">
        <v>50</v>
      </c>
      <c r="B13" s="22">
        <v>1.4901153268770327E-2</v>
      </c>
      <c r="C13" s="22">
        <v>1.3988809505985966E-2</v>
      </c>
      <c r="D13" s="22">
        <v>1.3132325254641973E-2</v>
      </c>
      <c r="E13" s="22">
        <v>1.232828043872573E-2</v>
      </c>
      <c r="F13" s="22">
        <v>1.1573464381118934E-2</v>
      </c>
      <c r="G13" s="22">
        <v>1.0864862982860034E-2</v>
      </c>
      <c r="H13" s="22">
        <v>1.0199646687374131E-2</v>
      </c>
      <c r="I13" s="22">
        <v>9.5751591816095622E-3</v>
      </c>
      <c r="J13" s="22">
        <v>8.9889067889630577E-3</v>
      </c>
      <c r="K13" s="22">
        <v>8.4385485116377744E-3</v>
      </c>
      <c r="L13" s="22">
        <v>7.9218866826717468E-3</v>
      </c>
      <c r="M13" s="22">
        <v>7.4368581903088548E-3</v>
      </c>
      <c r="N13" s="22">
        <v>6.9815262396698439E-3</v>
      </c>
      <c r="O13" s="22">
        <v>6.5540726188264582E-3</v>
      </c>
    </row>
    <row r="14" spans="1:15">
      <c r="A14">
        <v>55</v>
      </c>
      <c r="B14" s="22">
        <v>1.8410735747761052E-2</v>
      </c>
      <c r="C14" s="22">
        <v>1.7458845746385249E-2</v>
      </c>
      <c r="D14" s="22">
        <v>1.6556171299842968E-2</v>
      </c>
      <c r="E14" s="22">
        <v>1.5700167817021691E-2</v>
      </c>
      <c r="F14" s="22">
        <v>1.4888422269766066E-2</v>
      </c>
      <c r="G14" s="22">
        <v>1.411864639068015E-2</v>
      </c>
      <c r="H14" s="22">
        <v>1.3388670222623789E-2</v>
      </c>
      <c r="I14" s="22">
        <v>1.2696436001719102E-2</v>
      </c>
      <c r="J14" s="22">
        <v>1.2039992356623929E-2</v>
      </c>
      <c r="K14" s="22">
        <v>1.141748880772013E-2</v>
      </c>
      <c r="L14" s="22">
        <v>1.0827170550710193E-2</v>
      </c>
      <c r="M14" s="22">
        <v>1.0267373509917568E-2</v>
      </c>
      <c r="N14" s="22">
        <v>9.7365196473461185E-3</v>
      </c>
      <c r="O14" s="22">
        <v>9.2331125142751328E-3</v>
      </c>
    </row>
    <row r="15" spans="1:15">
      <c r="A15">
        <v>60</v>
      </c>
      <c r="B15" s="22">
        <v>2.708072710433301E-2</v>
      </c>
      <c r="C15" s="22">
        <v>2.5631621520727097E-2</v>
      </c>
      <c r="D15" s="22">
        <v>2.4260058426447535E-2</v>
      </c>
      <c r="E15" s="22">
        <v>2.2961888477430702E-2</v>
      </c>
      <c r="F15" s="22">
        <v>2.1733184363446366E-2</v>
      </c>
      <c r="G15" s="22">
        <v>2.0570228926937141E-2</v>
      </c>
      <c r="H15" s="22">
        <v>1.9469503917625738E-2</v>
      </c>
      <c r="I15" s="22">
        <v>1.8427679348869814E-2</v>
      </c>
      <c r="J15" s="22">
        <v>1.7441603423564465E-2</v>
      </c>
      <c r="K15" s="22">
        <v>1.6508292999115659E-2</v>
      </c>
      <c r="L15" s="22">
        <v>1.5624924562638441E-2</v>
      </c>
      <c r="M15" s="22">
        <v>1.4788825689077632E-2</v>
      </c>
      <c r="N15" s="22">
        <v>1.3997466956409483E-2</v>
      </c>
      <c r="O15" s="22">
        <v>1.324845429346563E-2</v>
      </c>
    </row>
    <row r="16" spans="1:15">
      <c r="A16">
        <v>65</v>
      </c>
      <c r="B16" s="22">
        <v>4.200065048808313E-2</v>
      </c>
      <c r="C16" s="22">
        <v>3.9222800046535673E-2</v>
      </c>
      <c r="D16" s="22">
        <v>3.6628671832761681E-2</v>
      </c>
      <c r="E16" s="22">
        <v>3.4206114776108389E-2</v>
      </c>
      <c r="F16" s="22">
        <v>3.1943781456737645E-2</v>
      </c>
      <c r="G16" s="22">
        <v>2.9831074953549766E-2</v>
      </c>
      <c r="H16" s="22">
        <v>2.7858099207493991E-2</v>
      </c>
      <c r="I16" s="22">
        <v>2.6015612667763699E-2</v>
      </c>
      <c r="J16" s="22">
        <v>2.4294985003752174E-2</v>
      </c>
      <c r="K16" s="22">
        <v>2.2688156680004894E-2</v>
      </c>
      <c r="L16" s="22">
        <v>2.1187601204814541E-2</v>
      </c>
      <c r="M16" s="22">
        <v>1.9786289875628704E-2</v>
      </c>
      <c r="N16" s="22">
        <v>1.847765885613542E-2</v>
      </c>
      <c r="O16" s="22">
        <v>1.7255578430813375E-2</v>
      </c>
    </row>
    <row r="17" spans="1:15">
      <c r="A17">
        <v>70</v>
      </c>
      <c r="B17" s="22">
        <v>4.4851445913939428E-2</v>
      </c>
      <c r="C17" s="22">
        <v>4.3179165757729461E-2</v>
      </c>
      <c r="D17" s="22">
        <v>4.1569236343259666E-2</v>
      </c>
      <c r="E17" s="22">
        <v>4.0019332931471779E-2</v>
      </c>
      <c r="F17" s="22">
        <v>3.8527217460892021E-2</v>
      </c>
      <c r="G17" s="22">
        <v>3.7090735315869081E-2</v>
      </c>
      <c r="H17" s="22">
        <v>3.5707812215307763E-2</v>
      </c>
      <c r="I17" s="22">
        <v>3.4376451217405735E-2</v>
      </c>
      <c r="J17" s="22">
        <v>3.3094729836068475E-2</v>
      </c>
      <c r="K17" s="22">
        <v>3.186079726483812E-2</v>
      </c>
      <c r="L17" s="22">
        <v>3.0672871704327732E-2</v>
      </c>
      <c r="M17" s="22">
        <v>2.9529237789302044E-2</v>
      </c>
      <c r="N17" s="22">
        <v>2.8428244111688906E-2</v>
      </c>
      <c r="O17" s="22">
        <v>2.736830083594503E-2</v>
      </c>
    </row>
    <row r="18" spans="1:15">
      <c r="A18">
        <v>75</v>
      </c>
      <c r="B18" s="22">
        <v>6.9321878036952028E-2</v>
      </c>
      <c r="C18" s="22">
        <v>6.5649678671030193E-2</v>
      </c>
      <c r="D18" s="22">
        <v>6.2172007332405681E-2</v>
      </c>
      <c r="E18" s="22">
        <v>5.8878559255559737E-2</v>
      </c>
      <c r="F18" s="22">
        <v>5.5759575551029901E-2</v>
      </c>
      <c r="G18" s="22">
        <v>5.2805814288627059E-2</v>
      </c>
      <c r="H18" s="22">
        <v>5.0008523112465945E-2</v>
      </c>
      <c r="I18" s="22">
        <v>4.7359413306664135E-2</v>
      </c>
      <c r="J18" s="22">
        <v>4.4850635234863219E-2</v>
      </c>
      <c r="K18" s="22">
        <v>4.2474755080796081E-2</v>
      </c>
      <c r="L18" s="22">
        <v>4.0224732820980186E-2</v>
      </c>
      <c r="M18" s="22">
        <v>3.8093901364266901E-2</v>
      </c>
      <c r="N18" s="22">
        <v>3.6075946796435041E-2</v>
      </c>
      <c r="O18" s="22">
        <v>3.4164889671290763E-2</v>
      </c>
    </row>
    <row r="19" spans="1:15">
      <c r="A19">
        <v>80</v>
      </c>
      <c r="B19" s="22">
        <v>6.9884133140248231E-2</v>
      </c>
      <c r="C19" s="22">
        <v>6.8024089449748887E-2</v>
      </c>
      <c r="D19" s="22">
        <v>6.621355288447385E-2</v>
      </c>
      <c r="E19" s="22">
        <v>6.4451205757392147E-2</v>
      </c>
      <c r="F19" s="22">
        <v>6.2735765453174247E-2</v>
      </c>
      <c r="G19" s="22">
        <v>6.1065983494719686E-2</v>
      </c>
      <c r="H19" s="22">
        <v>5.944064463453036E-2</v>
      </c>
      <c r="I19" s="22">
        <v>5.785856597026779E-2</v>
      </c>
      <c r="J19" s="22">
        <v>5.6318596083850793E-2</v>
      </c>
      <c r="K19" s="22">
        <v>5.481961420346719E-2</v>
      </c>
      <c r="L19" s="22">
        <v>5.3360529387889197E-2</v>
      </c>
      <c r="M19" s="22">
        <v>5.1940279732499463E-2</v>
      </c>
      <c r="N19" s="22">
        <v>5.0557831596449436E-2</v>
      </c>
      <c r="O19" s="22">
        <v>4.9212178850387915E-2</v>
      </c>
    </row>
    <row r="20" spans="1:15">
      <c r="A20">
        <v>85</v>
      </c>
      <c r="B20" s="22">
        <v>7.510320275669688E-2</v>
      </c>
      <c r="C20" s="22">
        <v>7.4871579195536359E-2</v>
      </c>
      <c r="D20" s="22">
        <v>7.4640669977734289E-2</v>
      </c>
      <c r="E20" s="22">
        <v>7.4410472900205415E-2</v>
      </c>
      <c r="F20" s="22">
        <v>7.4180985766659116E-2</v>
      </c>
      <c r="G20" s="22">
        <v>7.3952206387578143E-2</v>
      </c>
      <c r="H20" s="22">
        <v>7.3724132580197929E-2</v>
      </c>
      <c r="I20" s="22">
        <v>7.3496762168485746E-2</v>
      </c>
      <c r="J20" s="22">
        <v>7.3270092983119831E-2</v>
      </c>
      <c r="K20" s="22">
        <v>7.304412286146883E-2</v>
      </c>
      <c r="L20" s="22">
        <v>7.2818849647571057E-2</v>
      </c>
      <c r="M20" s="22">
        <v>7.2594271192113924E-2</v>
      </c>
      <c r="N20" s="22">
        <v>7.2370385352413594E-2</v>
      </c>
      <c r="O20" s="22">
        <v>7.2147189992394306E-2</v>
      </c>
    </row>
    <row r="21" spans="1:15">
      <c r="A21">
        <v>90</v>
      </c>
      <c r="B21" s="22">
        <v>9.1723698625237465E-2</v>
      </c>
      <c r="C21" s="22">
        <v>9.2986413503794912E-2</v>
      </c>
      <c r="D21" s="22">
        <v>9.4266511554732382E-2</v>
      </c>
      <c r="E21" s="22">
        <v>9.5564232083602568E-2</v>
      </c>
      <c r="F21" s="22">
        <v>9.6879817690359651E-2</v>
      </c>
      <c r="G21" s="22">
        <v>9.8213514314711606E-2</v>
      </c>
      <c r="H21" s="22">
        <v>9.9565571282096907E-2</v>
      </c>
      <c r="I21" s="22">
        <v>0.1009362413502944</v>
      </c>
      <c r="J21" s="22">
        <v>0.10232578075667437</v>
      </c>
      <c r="K21" s="22">
        <v>0.10373444926610051</v>
      </c>
      <c r="L21" s="22">
        <v>0.10516251021949115</v>
      </c>
      <c r="M21" s="22">
        <v>0.10661023058304903</v>
      </c>
      <c r="N21" s="22">
        <v>0.10807788099816892</v>
      </c>
      <c r="O21" s="22">
        <v>0.10956573583203194</v>
      </c>
    </row>
    <row r="22" spans="1:15">
      <c r="A22">
        <v>95</v>
      </c>
      <c r="B22" s="22">
        <v>0.12730571055210535</v>
      </c>
      <c r="C22" s="22">
        <v>0.13030775083073029</v>
      </c>
      <c r="D22" s="22">
        <v>0.13338058326624588</v>
      </c>
      <c r="E22" s="22">
        <v>0.13652587723314827</v>
      </c>
      <c r="F22" s="22">
        <v>0.13974534147203455</v>
      </c>
      <c r="G22" s="22">
        <v>0.14304072501790882</v>
      </c>
      <c r="H22" s="22">
        <v>0.14641381815037846</v>
      </c>
      <c r="I22" s="22">
        <v>0.14986645336625748</v>
      </c>
      <c r="J22" s="22">
        <v>0.15340050637510522</v>
      </c>
      <c r="K22" s="22">
        <v>0.15701789711824116</v>
      </c>
      <c r="L22" s="22">
        <v>0.16072059081178927</v>
      </c>
      <c r="M22" s="22">
        <v>0.16451059901431922</v>
      </c>
      <c r="N22" s="22">
        <v>0.1683899807196636</v>
      </c>
      <c r="O22" s="22">
        <v>0.17236084347550518</v>
      </c>
    </row>
    <row r="23" spans="1:15">
      <c r="A23">
        <v>100</v>
      </c>
      <c r="B23" s="22">
        <v>0.2007971005186161</v>
      </c>
      <c r="C23" s="22">
        <v>0.20604840063753699</v>
      </c>
      <c r="D23" s="22">
        <v>0.21143703417844331</v>
      </c>
      <c r="E23" s="22">
        <v>0.21696659272215643</v>
      </c>
      <c r="F23" s="22">
        <v>0.2226407617774914</v>
      </c>
      <c r="G23" s="22">
        <v>0.22846332323768728</v>
      </c>
      <c r="H23" s="22">
        <v>0.23443815790107875</v>
      </c>
      <c r="I23" s="22">
        <v>0.24056924805768881</v>
      </c>
      <c r="J23" s="22">
        <v>0.24686068014346696</v>
      </c>
      <c r="K23" s="22">
        <v>0.25331664746394178</v>
      </c>
      <c r="L23" s="22">
        <v>0.25994145298910282</v>
      </c>
      <c r="M23" s="22">
        <v>0.26673951222137537</v>
      </c>
      <c r="N23" s="22">
        <v>0.27371535613859937</v>
      </c>
      <c r="O23" s="22">
        <v>0.28087363421397343</v>
      </c>
    </row>
    <row r="25" spans="1:15"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</row>
    <row r="33" spans="2:15"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</row>
    <row r="34" spans="2:15"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</row>
    <row r="35" spans="2:15"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</row>
    <row r="36" spans="2:15"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</row>
    <row r="37" spans="2:15"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</row>
    <row r="38" spans="2:15"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</row>
    <row r="39" spans="2:15"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</row>
    <row r="40" spans="2:15"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</row>
    <row r="41" spans="2:15"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</row>
    <row r="42" spans="2:15"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</row>
    <row r="43" spans="2:15"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</row>
    <row r="44" spans="2:15"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</row>
    <row r="45" spans="2:15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</row>
    <row r="46" spans="2:15"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CFFCC"/>
  </sheetPr>
  <dimension ref="A1:O46"/>
  <sheetViews>
    <sheetView workbookViewId="0">
      <selection sqref="A1:O100"/>
    </sheetView>
  </sheetViews>
  <sheetFormatPr baseColWidth="10" defaultColWidth="9.140625" defaultRowHeight="10.199999999999999"/>
  <cols>
    <col min="2" max="15" width="9.28515625" bestFit="1" customWidth="1"/>
  </cols>
  <sheetData>
    <row r="1" spans="1:15"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0</v>
      </c>
      <c r="K1" t="s">
        <v>1</v>
      </c>
      <c r="L1" t="s">
        <v>2</v>
      </c>
      <c r="M1" t="s">
        <v>3</v>
      </c>
      <c r="N1" s="3" t="s">
        <v>21</v>
      </c>
      <c r="O1" s="3" t="s">
        <v>22</v>
      </c>
    </row>
    <row r="2" spans="1:15">
      <c r="A2">
        <v>0</v>
      </c>
      <c r="B2" s="22">
        <v>0.17016676747969792</v>
      </c>
      <c r="C2" s="22">
        <v>0.13364233919540461</v>
      </c>
      <c r="D2" s="22">
        <v>0.10495747842039983</v>
      </c>
      <c r="E2" s="22">
        <v>8.2429508063770002E-2</v>
      </c>
      <c r="F2" s="22">
        <v>6.4736919197122239E-2</v>
      </c>
      <c r="G2" s="22">
        <v>5.0841850273964394E-2</v>
      </c>
      <c r="H2" s="22">
        <v>3.992920533350186E-2</v>
      </c>
      <c r="I2" s="22">
        <v>3.1358839813534475E-2</v>
      </c>
      <c r="J2" s="22">
        <v>2.4628009153636509E-2</v>
      </c>
      <c r="K2" s="22">
        <v>1.9341877393366486E-2</v>
      </c>
      <c r="L2" s="22">
        <v>1.5190355776068956E-2</v>
      </c>
      <c r="M2" s="22">
        <v>1.1929912692068294E-2</v>
      </c>
      <c r="N2" s="22">
        <v>9.3692879178372494E-3</v>
      </c>
      <c r="O2" s="22">
        <v>7.3582731368767394E-3</v>
      </c>
    </row>
    <row r="3" spans="1:15">
      <c r="A3">
        <v>1</v>
      </c>
      <c r="B3" s="22">
        <v>1.0704112249227564E-2</v>
      </c>
      <c r="C3" s="22">
        <v>8.2108275043451147E-3</v>
      </c>
      <c r="D3" s="22">
        <v>6.2982979565610591E-3</v>
      </c>
      <c r="E3" s="22">
        <v>4.8312496065261289E-3</v>
      </c>
      <c r="F3" s="22">
        <v>3.7059175227243907E-3</v>
      </c>
      <c r="G3" s="22">
        <v>2.8427065053074109E-3</v>
      </c>
      <c r="H3" s="22">
        <v>2.1805612849625337E-3</v>
      </c>
      <c r="I3" s="22">
        <v>1.6726480586722651E-3</v>
      </c>
      <c r="J3" s="22">
        <v>1.2830419156176871E-3</v>
      </c>
      <c r="K3" s="22">
        <v>9.8418585350144947E-4</v>
      </c>
      <c r="L3" s="22">
        <v>7.5494166047261049E-4</v>
      </c>
      <c r="M3" s="22">
        <v>5.7909480073247506E-4</v>
      </c>
      <c r="N3" s="22">
        <v>4.4420755376706531E-4</v>
      </c>
      <c r="O3" s="22">
        <v>3.4073928927377242E-4</v>
      </c>
    </row>
    <row r="4" spans="1:15">
      <c r="A4">
        <v>5</v>
      </c>
      <c r="B4" s="22">
        <v>9.4100736272300983E-4</v>
      </c>
      <c r="C4" s="22">
        <v>8.3521524303244654E-4</v>
      </c>
      <c r="D4" s="22">
        <v>7.4131673122634868E-4</v>
      </c>
      <c r="E4" s="22">
        <v>6.5797469643974103E-4</v>
      </c>
      <c r="F4" s="22">
        <v>5.8400233384558694E-4</v>
      </c>
      <c r="G4" s="22">
        <v>5.183462643511055E-4</v>
      </c>
      <c r="H4" s="22">
        <v>4.6007153429935979E-4</v>
      </c>
      <c r="I4" s="22">
        <v>4.0834830156930328E-4</v>
      </c>
      <c r="J4" s="22">
        <v>3.6244001848207081E-4</v>
      </c>
      <c r="K4" s="22">
        <v>3.2169294323608065E-4</v>
      </c>
      <c r="L4" s="22">
        <v>2.8552683051198853E-4</v>
      </c>
      <c r="M4" s="22">
        <v>2.5342666868011677E-4</v>
      </c>
      <c r="N4" s="22">
        <v>2.2493534594677969E-4</v>
      </c>
      <c r="O4" s="22">
        <v>1.9964714100417441E-4</v>
      </c>
    </row>
    <row r="5" spans="1:15">
      <c r="A5">
        <v>10</v>
      </c>
      <c r="B5" s="22">
        <v>6.7453826198898186E-4</v>
      </c>
      <c r="C5" s="22">
        <v>6.2281898944194529E-4</v>
      </c>
      <c r="D5" s="22">
        <v>5.7506521937790705E-4</v>
      </c>
      <c r="E5" s="22">
        <v>5.3097290247118545E-4</v>
      </c>
      <c r="F5" s="22">
        <v>4.9026130195052163E-4</v>
      </c>
      <c r="G5" s="22">
        <v>4.5267120614175609E-4</v>
      </c>
      <c r="H5" s="22">
        <v>4.1796327806128248E-4</v>
      </c>
      <c r="I5" s="22">
        <v>3.8591653155210169E-4</v>
      </c>
      <c r="J5" s="22">
        <v>3.5632692426000085E-4</v>
      </c>
      <c r="K5" s="22">
        <v>3.2900605849130491E-4</v>
      </c>
      <c r="L5" s="22">
        <v>3.0377998168053385E-4</v>
      </c>
      <c r="M5" s="22">
        <v>2.8048807883051299E-4</v>
      </c>
      <c r="N5" s="22">
        <v>2.5898204987308233E-4</v>
      </c>
      <c r="O5" s="22">
        <v>2.3912496543923453E-4</v>
      </c>
    </row>
    <row r="6" spans="1:15">
      <c r="A6">
        <v>15</v>
      </c>
      <c r="B6" s="22">
        <v>1.05653061746557E-3</v>
      </c>
      <c r="C6" s="22">
        <v>9.7750142519085017E-4</v>
      </c>
      <c r="D6" s="22">
        <v>9.0438366901495057E-4</v>
      </c>
      <c r="E6" s="22">
        <v>8.3673516958939734E-4</v>
      </c>
      <c r="F6" s="22">
        <v>7.7414682287482088E-4</v>
      </c>
      <c r="G6" s="22">
        <v>7.1624012608585501E-4</v>
      </c>
      <c r="H6" s="22">
        <v>6.626648886970028E-4</v>
      </c>
      <c r="I6" s="22">
        <v>6.1309711466678372E-4</v>
      </c>
      <c r="J6" s="22">
        <v>5.6723704307292332E-4</v>
      </c>
      <c r="K6" s="22">
        <v>5.2480733530932942E-4</v>
      </c>
      <c r="L6" s="22">
        <v>4.8555139788194497E-4</v>
      </c>
      <c r="M6" s="22">
        <v>4.4923183066057989E-4</v>
      </c>
      <c r="N6" s="22">
        <v>4.1562899120253999E-4</v>
      </c>
      <c r="O6" s="22">
        <v>3.8453966646580207E-4</v>
      </c>
    </row>
    <row r="7" spans="1:15">
      <c r="A7">
        <v>20</v>
      </c>
      <c r="B7" s="22">
        <v>1.3192715946628744E-3</v>
      </c>
      <c r="C7" s="22">
        <v>1.221504944952663E-3</v>
      </c>
      <c r="D7" s="22">
        <v>1.1309834431211957E-3</v>
      </c>
      <c r="E7" s="22">
        <v>1.0471701763465596E-3</v>
      </c>
      <c r="F7" s="22">
        <v>9.6956802055693536E-4</v>
      </c>
      <c r="G7" s="22">
        <v>8.9771669182410084E-4</v>
      </c>
      <c r="H7" s="22">
        <v>8.3119001626795453E-4</v>
      </c>
      <c r="I7" s="22">
        <v>7.695934022789602E-4</v>
      </c>
      <c r="J7" s="22">
        <v>7.1256150006543308E-4</v>
      </c>
      <c r="K7" s="22">
        <v>6.5975603464367351E-4</v>
      </c>
      <c r="L7" s="22">
        <v>6.1086379941769655E-4</v>
      </c>
      <c r="M7" s="22">
        <v>5.6559479844782413E-4</v>
      </c>
      <c r="N7" s="22">
        <v>5.2368052638931256E-4</v>
      </c>
      <c r="O7" s="22">
        <v>4.8487237589877897E-4</v>
      </c>
    </row>
    <row r="8" spans="1:15">
      <c r="A8">
        <v>25</v>
      </c>
      <c r="B8" s="22">
        <v>1.7624485736725118E-3</v>
      </c>
      <c r="C8" s="22">
        <v>1.6257435621203757E-3</v>
      </c>
      <c r="D8" s="22">
        <v>1.4996421281492469E-3</v>
      </c>
      <c r="E8" s="22">
        <v>1.3833218011251654E-3</v>
      </c>
      <c r="F8" s="22">
        <v>1.2760239056699336E-3</v>
      </c>
      <c r="G8" s="22">
        <v>1.1770486133571927E-3</v>
      </c>
      <c r="H8" s="22">
        <v>1.0857503782256421E-3</v>
      </c>
      <c r="I8" s="22">
        <v>1.0015337263384408E-3</v>
      </c>
      <c r="J8" s="22">
        <v>9.2384937192709266E-4</v>
      </c>
      <c r="K8" s="22">
        <v>8.5219063478813716E-4</v>
      </c>
      <c r="L8" s="22">
        <v>7.860901355658651E-4</v>
      </c>
      <c r="M8" s="22">
        <v>7.2511674736672736E-4</v>
      </c>
      <c r="N8" s="22">
        <v>6.688727838229519E-4</v>
      </c>
      <c r="O8" s="22">
        <v>6.16991405265114E-4</v>
      </c>
    </row>
    <row r="9" spans="1:15">
      <c r="A9">
        <v>30</v>
      </c>
      <c r="B9" s="22">
        <v>2.3757802871072994E-3</v>
      </c>
      <c r="C9" s="22">
        <v>2.189003894466053E-3</v>
      </c>
      <c r="D9" s="22">
        <v>2.0169112758410277E-3</v>
      </c>
      <c r="E9" s="22">
        <v>1.8583480389864474E-3</v>
      </c>
      <c r="F9" s="22">
        <v>1.7122505463532211E-3</v>
      </c>
      <c r="G9" s="22">
        <v>1.5776387802394238E-3</v>
      </c>
      <c r="H9" s="22">
        <v>1.4536097688602478E-3</v>
      </c>
      <c r="I9" s="22">
        <v>1.3393315292397122E-3</v>
      </c>
      <c r="J9" s="22">
        <v>1.2340374862932317E-3</v>
      </c>
      <c r="K9" s="22">
        <v>1.1370213306643971E-3</v>
      </c>
      <c r="L9" s="22">
        <v>1.0476322808224937E-3</v>
      </c>
      <c r="M9" s="22">
        <v>9.6527071763905892E-4</v>
      </c>
      <c r="N9" s="22">
        <v>8.8938416216032565E-4</v>
      </c>
      <c r="O9" s="22">
        <v>8.1946356959457863E-4</v>
      </c>
    </row>
    <row r="10" spans="1:15">
      <c r="A10">
        <v>35</v>
      </c>
      <c r="B10" s="22">
        <v>3.7036358069762751E-3</v>
      </c>
      <c r="C10" s="22">
        <v>3.3606857902028072E-3</v>
      </c>
      <c r="D10" s="22">
        <v>3.0494923283755303E-3</v>
      </c>
      <c r="E10" s="22">
        <v>2.7671148216031317E-3</v>
      </c>
      <c r="F10" s="22">
        <v>2.5108849642571755E-3</v>
      </c>
      <c r="G10" s="22">
        <v>2.2783815310129458E-3</v>
      </c>
      <c r="H10" s="22">
        <v>2.0674074976575504E-3</v>
      </c>
      <c r="I10" s="22">
        <v>1.8759692804700709E-3</v>
      </c>
      <c r="J10" s="22">
        <v>1.7022578979977816E-3</v>
      </c>
      <c r="K10" s="22">
        <v>1.5446318772180212E-3</v>
      </c>
      <c r="L10" s="22">
        <v>1.4016017425587395E-3</v>
      </c>
      <c r="M10" s="22">
        <v>1.2718159412078562E-3</v>
      </c>
      <c r="N10" s="22">
        <v>1.1540480717136641E-3</v>
      </c>
      <c r="O10" s="22">
        <v>1.0471852951938765E-3</v>
      </c>
    </row>
    <row r="11" spans="1:15">
      <c r="A11">
        <v>40</v>
      </c>
      <c r="B11" s="22">
        <v>4.8885335138579619E-3</v>
      </c>
      <c r="C11" s="22">
        <v>4.4768146411453521E-3</v>
      </c>
      <c r="D11" s="22">
        <v>4.0997712860838306E-3</v>
      </c>
      <c r="E11" s="22">
        <v>3.7544830299021002E-3</v>
      </c>
      <c r="F11" s="22">
        <v>3.4382754154287771E-3</v>
      </c>
      <c r="G11" s="22">
        <v>3.148699231875387E-3</v>
      </c>
      <c r="H11" s="22">
        <v>2.8835115442828094E-3</v>
      </c>
      <c r="I11" s="22">
        <v>2.6406583206932677E-3</v>
      </c>
      <c r="J11" s="22">
        <v>2.4182585224852777E-3</v>
      </c>
      <c r="K11" s="22">
        <v>2.2145895346420167E-3</v>
      </c>
      <c r="L11" s="22">
        <v>2.0280738231020982E-3</v>
      </c>
      <c r="M11" s="22">
        <v>1.8572667158462063E-3</v>
      </c>
      <c r="N11" s="22">
        <v>1.7008452130770899E-3</v>
      </c>
      <c r="O11" s="22">
        <v>1.5575977398212294E-3</v>
      </c>
    </row>
    <row r="12" spans="1:15">
      <c r="A12">
        <v>45</v>
      </c>
      <c r="B12" s="22">
        <v>5.4189856199553616E-3</v>
      </c>
      <c r="C12" s="22">
        <v>5.0977926989145056E-3</v>
      </c>
      <c r="D12" s="22">
        <v>4.7956374538820259E-3</v>
      </c>
      <c r="E12" s="22">
        <v>4.5113914879224472E-3</v>
      </c>
      <c r="F12" s="22">
        <v>4.2439932861946857E-3</v>
      </c>
      <c r="G12" s="22">
        <v>3.9924442517313167E-3</v>
      </c>
      <c r="H12" s="22">
        <v>3.755804976184223E-3</v>
      </c>
      <c r="I12" s="22">
        <v>3.5331917316098025E-3</v>
      </c>
      <c r="J12" s="22">
        <v>3.3237731701923059E-3</v>
      </c>
      <c r="K12" s="22">
        <v>3.126767219580451E-3</v>
      </c>
      <c r="L12" s="22">
        <v>2.9414381622429428E-3</v>
      </c>
      <c r="M12" s="22">
        <v>2.767093887935819E-3</v>
      </c>
      <c r="N12" s="22">
        <v>2.6030833090209178E-3</v>
      </c>
      <c r="O12" s="22">
        <v>2.4487939289830332E-3</v>
      </c>
    </row>
    <row r="13" spans="1:15">
      <c r="A13">
        <v>50</v>
      </c>
      <c r="B13" s="22">
        <v>8.9416720390718078E-3</v>
      </c>
      <c r="C13" s="22">
        <v>8.3006376373230602E-3</v>
      </c>
      <c r="D13" s="22">
        <v>7.7055594171955765E-3</v>
      </c>
      <c r="E13" s="22">
        <v>7.1531427495345979E-3</v>
      </c>
      <c r="F13" s="22">
        <v>6.64032919933563E-3</v>
      </c>
      <c r="G13" s="22">
        <v>6.1642795928290679E-3</v>
      </c>
      <c r="H13" s="22">
        <v>5.7223582984968074E-3</v>
      </c>
      <c r="I13" s="22">
        <v>5.3121186349931494E-3</v>
      </c>
      <c r="J13" s="22">
        <v>4.9312893251815702E-3</v>
      </c>
      <c r="K13" s="22">
        <v>4.5777619212905791E-3</v>
      </c>
      <c r="L13" s="22">
        <v>4.2495791315684765E-3</v>
      </c>
      <c r="M13" s="22">
        <v>3.9449239838080198E-3</v>
      </c>
      <c r="N13" s="22">
        <v>3.6621097657451567E-3</v>
      </c>
      <c r="O13" s="22">
        <v>3.399570686637265E-3</v>
      </c>
    </row>
    <row r="14" spans="1:15">
      <c r="A14">
        <v>55</v>
      </c>
      <c r="B14" s="22">
        <v>1.0996082444724086E-2</v>
      </c>
      <c r="C14" s="22">
        <v>1.0372269690771685E-2</v>
      </c>
      <c r="D14" s="22">
        <v>9.783846117825316E-3</v>
      </c>
      <c r="E14" s="22">
        <v>9.2288040815648887E-3</v>
      </c>
      <c r="F14" s="22">
        <v>8.705249832244898E-3</v>
      </c>
      <c r="G14" s="22">
        <v>8.2113970534034766E-3</v>
      </c>
      <c r="H14" s="22">
        <v>7.7455607671233538E-3</v>
      </c>
      <c r="I14" s="22">
        <v>7.3061515850502204E-3</v>
      </c>
      <c r="J14" s="22">
        <v>6.8916702855533517E-3</v>
      </c>
      <c r="K14" s="22">
        <v>6.5007026985264222E-3</v>
      </c>
      <c r="L14" s="22">
        <v>6.1319148803758473E-3</v>
      </c>
      <c r="M14" s="22">
        <v>5.784048562734301E-3</v>
      </c>
      <c r="N14" s="22">
        <v>5.4559168593707186E-3</v>
      </c>
      <c r="O14" s="22">
        <v>5.1464002166492539E-3</v>
      </c>
    </row>
    <row r="15" spans="1:15">
      <c r="A15">
        <v>60</v>
      </c>
      <c r="B15" s="22">
        <v>1.7782759575583281E-2</v>
      </c>
      <c r="C15" s="22">
        <v>1.6670340505947619E-2</v>
      </c>
      <c r="D15" s="22">
        <v>1.5627509971276349E-2</v>
      </c>
      <c r="E15" s="22">
        <v>1.4649914788195825E-2</v>
      </c>
      <c r="F15" s="22">
        <v>1.373347409125792E-2</v>
      </c>
      <c r="G15" s="22">
        <v>1.2874362297808297E-2</v>
      </c>
      <c r="H15" s="22">
        <v>1.2068993138504989E-2</v>
      </c>
      <c r="I15" s="22">
        <v>1.1314004686824551E-2</v>
      </c>
      <c r="J15" s="22">
        <v>1.0606245325063173E-2</v>
      </c>
      <c r="K15" s="22">
        <v>9.942760588249059E-3</v>
      </c>
      <c r="L15" s="22">
        <v>9.320780831047773E-3</v>
      </c>
      <c r="M15" s="22">
        <v>8.7377096661770005E-3</v>
      </c>
      <c r="N15" s="22">
        <v>8.1911131260684993E-3</v>
      </c>
      <c r="O15" s="22">
        <v>7.6787095025334364E-3</v>
      </c>
    </row>
    <row r="16" spans="1:15">
      <c r="A16">
        <v>65</v>
      </c>
      <c r="B16" s="22">
        <v>2.9265038831763669E-2</v>
      </c>
      <c r="C16" s="22">
        <v>2.7047948811270015E-2</v>
      </c>
      <c r="D16" s="22">
        <v>2.4998823309369006E-2</v>
      </c>
      <c r="E16" s="22">
        <v>2.3104937502420091E-2</v>
      </c>
      <c r="F16" s="22">
        <v>2.1354530586672346E-2</v>
      </c>
      <c r="G16" s="22">
        <v>1.9736732745083613E-2</v>
      </c>
      <c r="H16" s="22">
        <v>1.8241497647060054E-2</v>
      </c>
      <c r="I16" s="22">
        <v>1.6859540061947967E-2</v>
      </c>
      <c r="J16" s="22">
        <v>1.5582278198864874E-2</v>
      </c>
      <c r="K16" s="22">
        <v>1.4401780414807183E-2</v>
      </c>
      <c r="L16" s="22">
        <v>1.3310715960098382E-2</v>
      </c>
      <c r="M16" s="22">
        <v>1.230230945531257E-2</v>
      </c>
      <c r="N16" s="22">
        <v>1.1370298816980732E-2</v>
      </c>
      <c r="O16" s="22">
        <v>1.0508896370803295E-2</v>
      </c>
    </row>
    <row r="17" spans="1:15">
      <c r="A17">
        <v>70</v>
      </c>
      <c r="B17" s="22">
        <v>3.5400406979753968E-2</v>
      </c>
      <c r="C17" s="22">
        <v>3.3511663168005454E-2</v>
      </c>
      <c r="D17" s="22">
        <v>3.1723690886608528E-2</v>
      </c>
      <c r="E17" s="22">
        <v>3.0031113598382089E-2</v>
      </c>
      <c r="F17" s="22">
        <v>2.8428841624466645E-2</v>
      </c>
      <c r="G17" s="22">
        <v>2.6912056839362382E-2</v>
      </c>
      <c r="H17" s="22">
        <v>2.5476198182544114E-2</v>
      </c>
      <c r="I17" s="22">
        <v>2.4116947943085623E-2</v>
      </c>
      <c r="J17" s="22">
        <v>2.2830218776050484E-2</v>
      </c>
      <c r="K17" s="22">
        <v>2.1612141411606878E-2</v>
      </c>
      <c r="L17" s="22">
        <v>2.0459053019906991E-2</v>
      </c>
      <c r="M17" s="22">
        <v>1.9367486196743524E-2</v>
      </c>
      <c r="N17" s="22">
        <v>1.8334158536862533E-2</v>
      </c>
      <c r="O17" s="22">
        <v>1.7355962763578911E-2</v>
      </c>
    </row>
    <row r="18" spans="1:15">
      <c r="A18">
        <v>75</v>
      </c>
      <c r="B18" s="22">
        <v>6.7390482375108446E-2</v>
      </c>
      <c r="C18" s="22">
        <v>6.2071755715622651E-2</v>
      </c>
      <c r="D18" s="22">
        <v>5.7172804257045282E-2</v>
      </c>
      <c r="E18" s="22">
        <v>5.2660497659996378E-2</v>
      </c>
      <c r="F18" s="22">
        <v>4.8504320364113639E-2</v>
      </c>
      <c r="G18" s="22">
        <v>4.467616521922424E-2</v>
      </c>
      <c r="H18" s="22">
        <v>4.1150143403970871E-2</v>
      </c>
      <c r="I18" s="22">
        <v>3.7902409346420883E-2</v>
      </c>
      <c r="J18" s="22">
        <v>3.4910999462641611E-2</v>
      </c>
      <c r="K18" s="22">
        <v>3.215568362267323E-2</v>
      </c>
      <c r="L18" s="22">
        <v>2.9617828339401464E-2</v>
      </c>
      <c r="M18" s="22">
        <v>2.7280270755112173E-2</v>
      </c>
      <c r="N18" s="22">
        <v>2.5127202573531713E-2</v>
      </c>
      <c r="O18" s="22">
        <v>2.314406315241508E-2</v>
      </c>
    </row>
    <row r="19" spans="1:15">
      <c r="A19">
        <v>80</v>
      </c>
      <c r="B19" s="22">
        <v>6.4295478793991723E-2</v>
      </c>
      <c r="C19" s="22">
        <v>6.194023519777777E-2</v>
      </c>
      <c r="D19" s="22">
        <v>5.9671267845268015E-2</v>
      </c>
      <c r="E19" s="22">
        <v>5.7485416303189318E-2</v>
      </c>
      <c r="F19" s="22">
        <v>5.5379635909865138E-2</v>
      </c>
      <c r="G19" s="22">
        <v>5.335099353432133E-2</v>
      </c>
      <c r="H19" s="22">
        <v>5.1396663490742851E-2</v>
      </c>
      <c r="I19" s="22">
        <v>4.9513923602589979E-2</v>
      </c>
      <c r="J19" s="22">
        <v>4.7700151410892365E-2</v>
      </c>
      <c r="K19" s="22">
        <v>4.5952820521438932E-2</v>
      </c>
      <c r="L19" s="22">
        <v>4.4269497085776127E-2</v>
      </c>
      <c r="M19" s="22">
        <v>4.2647836411112486E-2</v>
      </c>
      <c r="N19" s="22">
        <v>4.1085579694407882E-2</v>
      </c>
      <c r="O19" s="22">
        <v>3.9580550876097964E-2</v>
      </c>
    </row>
    <row r="20" spans="1:15">
      <c r="A20">
        <v>85</v>
      </c>
      <c r="B20" s="22">
        <v>6.6098817735943588E-2</v>
      </c>
      <c r="C20" s="22">
        <v>6.6202435683243896E-2</v>
      </c>
      <c r="D20" s="22">
        <v>6.6306216064296736E-2</v>
      </c>
      <c r="E20" s="22">
        <v>6.6410159133736782E-2</v>
      </c>
      <c r="F20" s="22">
        <v>6.6514265146597931E-2</v>
      </c>
      <c r="G20" s="22">
        <v>6.6618534358313816E-2</v>
      </c>
      <c r="H20" s="22">
        <v>6.6722967024718527E-2</v>
      </c>
      <c r="I20" s="22">
        <v>6.6827563402047208E-2</v>
      </c>
      <c r="J20" s="22">
        <v>6.6932323746936639E-2</v>
      </c>
      <c r="K20" s="22">
        <v>6.7037248316425935E-2</v>
      </c>
      <c r="L20" s="22">
        <v>6.7142337367957217E-2</v>
      </c>
      <c r="M20" s="22">
        <v>6.7247591159376091E-2</v>
      </c>
      <c r="N20" s="22">
        <v>6.7353009948932382E-2</v>
      </c>
      <c r="O20" s="22">
        <v>6.7458593995280772E-2</v>
      </c>
    </row>
    <row r="21" spans="1:15">
      <c r="A21">
        <v>90</v>
      </c>
      <c r="B21" s="22">
        <v>7.8898677342097517E-2</v>
      </c>
      <c r="C21" s="22">
        <v>8.1174510987869722E-2</v>
      </c>
      <c r="D21" s="22">
        <v>8.3515991092590433E-2</v>
      </c>
      <c r="E21" s="22">
        <v>8.5925011229447817E-2</v>
      </c>
      <c r="F21" s="22">
        <v>8.840351959177993E-2</v>
      </c>
      <c r="G21" s="22">
        <v>9.0953520568593599E-2</v>
      </c>
      <c r="H21" s="22">
        <v>9.357707636552956E-2</v>
      </c>
      <c r="I21" s="22">
        <v>9.6276308672584188E-2</v>
      </c>
      <c r="J21" s="22">
        <v>9.9053400379936651E-2</v>
      </c>
      <c r="K21" s="22">
        <v>0.10191059734326934</v>
      </c>
      <c r="L21" s="22">
        <v>0.10485021020000863</v>
      </c>
      <c r="M21" s="22">
        <v>0.10787461623795559</v>
      </c>
      <c r="N21" s="22">
        <v>0.11098626131781691</v>
      </c>
      <c r="O21" s="22">
        <v>0.11418766185119168</v>
      </c>
    </row>
    <row r="22" spans="1:15">
      <c r="A22">
        <v>95</v>
      </c>
      <c r="B22" s="22">
        <v>0.10934741688214225</v>
      </c>
      <c r="C22" s="22">
        <v>0.1141852452520465</v>
      </c>
      <c r="D22" s="22">
        <v>0.11923711236199594</v>
      </c>
      <c r="E22" s="22">
        <v>0.12451248787042764</v>
      </c>
      <c r="F22" s="22">
        <v>0.13002126039933123</v>
      </c>
      <c r="G22" s="22">
        <v>0.13577375607034073</v>
      </c>
      <c r="H22" s="22">
        <v>0.14178075786091371</v>
      </c>
      <c r="I22" s="22">
        <v>0.14805352581688058</v>
      </c>
      <c r="J22" s="22">
        <v>0.15460381815925259</v>
      </c>
      <c r="K22" s="22">
        <v>0.16144391332485222</v>
      </c>
      <c r="L22" s="22">
        <v>0.16858663298208162</v>
      </c>
      <c r="M22" s="22">
        <v>0.17604536606497118</v>
      </c>
      <c r="N22" s="22">
        <v>0.18383409387056038</v>
      </c>
      <c r="O22" s="22">
        <v>0.19196741626665517</v>
      </c>
    </row>
    <row r="23" spans="1:15">
      <c r="A23">
        <v>100</v>
      </c>
      <c r="B23" s="22">
        <v>0.17595844194563795</v>
      </c>
      <c r="C23" s="22">
        <v>0.18426586578464579</v>
      </c>
      <c r="D23" s="22">
        <v>0.19296550320589392</v>
      </c>
      <c r="E23" s="22">
        <v>0.20207587156170176</v>
      </c>
      <c r="F23" s="22">
        <v>0.21161636245340118</v>
      </c>
      <c r="G23" s="22">
        <v>0.22160728300674776</v>
      </c>
      <c r="H23" s="22">
        <v>0.23206989909604447</v>
      </c>
      <c r="I23" s="22">
        <v>0.24302648060898063</v>
      </c>
      <c r="J23" s="22">
        <v>0.25450034884853334</v>
      </c>
      <c r="K23" s="22">
        <v>0.26651592617282743</v>
      </c>
      <c r="L23" s="22">
        <v>0.27909878797861354</v>
      </c>
      <c r="M23" s="22">
        <v>0.2922757171390119</v>
      </c>
      <c r="N23" s="22">
        <v>0.30607476101139336</v>
      </c>
      <c r="O23" s="22">
        <v>0.32052529113674111</v>
      </c>
    </row>
    <row r="25" spans="1:15"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</row>
    <row r="33" spans="2:15"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</row>
    <row r="34" spans="2:15"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</row>
    <row r="35" spans="2:15"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</row>
    <row r="36" spans="2:15"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</row>
    <row r="37" spans="2:15"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</row>
    <row r="38" spans="2:15"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</row>
    <row r="39" spans="2:15"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</row>
    <row r="40" spans="2:15"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</row>
    <row r="41" spans="2:15"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</row>
    <row r="42" spans="2:15"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</row>
    <row r="43" spans="2:15"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</row>
    <row r="44" spans="2:15"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</row>
    <row r="45" spans="2:15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</row>
    <row r="46" spans="2:15"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</row>
  </sheetData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66FFFF"/>
  </sheetPr>
  <dimension ref="A1:U617"/>
  <sheetViews>
    <sheetView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baseColWidth="10" defaultColWidth="9.140625" defaultRowHeight="10.199999999999999"/>
  <cols>
    <col min="3" max="3" width="11.7109375" customWidth="1"/>
    <col min="4" max="4" width="9.28515625" customWidth="1"/>
    <col min="11" max="11" width="13" customWidth="1"/>
    <col min="12" max="12" width="9.7109375" bestFit="1" customWidth="1"/>
  </cols>
  <sheetData>
    <row r="1" spans="1:21" s="3" customFormat="1">
      <c r="A1" s="50" t="s">
        <v>32</v>
      </c>
      <c r="B1" s="50" t="s">
        <v>33</v>
      </c>
      <c r="C1" s="50" t="s">
        <v>34</v>
      </c>
      <c r="D1" s="50" t="s">
        <v>35</v>
      </c>
      <c r="E1" s="50" t="s">
        <v>36</v>
      </c>
      <c r="F1" s="50" t="s">
        <v>37</v>
      </c>
      <c r="G1" s="50" t="s">
        <v>38</v>
      </c>
      <c r="H1" s="50" t="s">
        <v>39</v>
      </c>
      <c r="I1" s="50" t="s">
        <v>40</v>
      </c>
      <c r="J1" s="50" t="s">
        <v>41</v>
      </c>
      <c r="K1" s="50" t="s">
        <v>42</v>
      </c>
      <c r="L1" s="50" t="s">
        <v>43</v>
      </c>
      <c r="M1" s="50" t="s">
        <v>44</v>
      </c>
      <c r="N1" s="50" t="s">
        <v>45</v>
      </c>
      <c r="O1" s="50" t="s">
        <v>46</v>
      </c>
    </row>
    <row r="2" spans="1:21">
      <c r="A2" s="39">
        <v>1</v>
      </c>
      <c r="B2" s="39">
        <v>1950</v>
      </c>
      <c r="C2" s="39">
        <v>5</v>
      </c>
      <c r="D2" s="39">
        <v>0</v>
      </c>
      <c r="E2" s="39">
        <v>1</v>
      </c>
      <c r="F2" s="40">
        <v>0.1899465727762599</v>
      </c>
      <c r="G2" s="40">
        <v>0.16850226605499891</v>
      </c>
      <c r="H2" s="41">
        <v>100000</v>
      </c>
      <c r="I2" s="41">
        <v>16850.226605499891</v>
      </c>
      <c r="J2" s="41">
        <v>88710.348174315077</v>
      </c>
      <c r="K2" s="40">
        <v>0.82772115682831282</v>
      </c>
      <c r="L2" s="41">
        <v>5525285.6291521508</v>
      </c>
      <c r="M2" s="42">
        <v>55.25285629152151</v>
      </c>
      <c r="N2" s="43">
        <v>0.33</v>
      </c>
      <c r="O2" s="40">
        <v>0.83149773394500115</v>
      </c>
    </row>
    <row r="3" spans="1:21">
      <c r="A3" s="39">
        <v>1</v>
      </c>
      <c r="B3" s="39">
        <v>1950</v>
      </c>
      <c r="C3" s="39">
        <v>5</v>
      </c>
      <c r="D3" s="39">
        <v>1</v>
      </c>
      <c r="E3" s="39">
        <v>4</v>
      </c>
      <c r="F3" s="40">
        <v>8.6514312283441207E-3</v>
      </c>
      <c r="G3" s="40">
        <v>3.3830697799428038E-2</v>
      </c>
      <c r="H3" s="41">
        <v>83149.773394500109</v>
      </c>
      <c r="I3" s="41">
        <v>2813.0148558002547</v>
      </c>
      <c r="J3" s="41">
        <v>325150.23023984139</v>
      </c>
      <c r="K3" s="40">
        <v>0.96755912432189539</v>
      </c>
      <c r="L3" s="41">
        <v>5436575.2809778359</v>
      </c>
      <c r="M3" s="42">
        <v>65.382923597208929</v>
      </c>
      <c r="N3" s="43">
        <v>1.3520000000000001</v>
      </c>
      <c r="O3" s="40">
        <v>0.96616930220057196</v>
      </c>
    </row>
    <row r="4" spans="1:21">
      <c r="A4" s="39">
        <v>1</v>
      </c>
      <c r="B4" s="39">
        <v>1950</v>
      </c>
      <c r="C4" s="39">
        <v>5</v>
      </c>
      <c r="D4" s="39">
        <v>5</v>
      </c>
      <c r="E4" s="39">
        <v>5</v>
      </c>
      <c r="F4" s="40">
        <v>1.2478581199038921E-3</v>
      </c>
      <c r="G4" s="40">
        <v>6.2198867590266254E-3</v>
      </c>
      <c r="H4" s="41">
        <v>80336.758538699854</v>
      </c>
      <c r="I4" s="41">
        <v>499.68554069797392</v>
      </c>
      <c r="J4" s="41">
        <v>400434.57884175435</v>
      </c>
      <c r="K4" s="40">
        <v>0.99434802378157749</v>
      </c>
      <c r="L4" s="41">
        <v>5111425.0507379947</v>
      </c>
      <c r="M4" s="42">
        <v>63.624984922384158</v>
      </c>
      <c r="N4" s="43">
        <v>2.5</v>
      </c>
      <c r="O4" s="40">
        <v>0.99378011324097337</v>
      </c>
    </row>
    <row r="5" spans="1:21">
      <c r="A5" s="39">
        <v>1</v>
      </c>
      <c r="B5" s="39">
        <v>1950</v>
      </c>
      <c r="C5" s="39">
        <v>5</v>
      </c>
      <c r="D5" s="39">
        <v>10</v>
      </c>
      <c r="E5" s="39">
        <v>5</v>
      </c>
      <c r="F5" s="40">
        <v>1.0186899790003924E-3</v>
      </c>
      <c r="G5" s="40">
        <v>5.0805112303056836E-3</v>
      </c>
      <c r="H5" s="41">
        <v>79837.07299800188</v>
      </c>
      <c r="I5" s="41">
        <v>405.61314596107695</v>
      </c>
      <c r="J5" s="41">
        <v>398171.33212510671</v>
      </c>
      <c r="K5" s="40">
        <v>0.99453700928898225</v>
      </c>
      <c r="L5" s="41">
        <v>4710990.4718962405</v>
      </c>
      <c r="M5" s="42">
        <v>59.007554948991491</v>
      </c>
      <c r="N5" s="43">
        <v>2.5</v>
      </c>
      <c r="O5" s="40">
        <v>0.99491948876969427</v>
      </c>
    </row>
    <row r="6" spans="1:21">
      <c r="A6" s="39">
        <v>1</v>
      </c>
      <c r="B6" s="39">
        <v>1950</v>
      </c>
      <c r="C6" s="39">
        <v>5</v>
      </c>
      <c r="D6" s="39">
        <v>15</v>
      </c>
      <c r="E6" s="39">
        <v>5</v>
      </c>
      <c r="F6" s="40">
        <v>1.2372820719757133E-3</v>
      </c>
      <c r="G6" s="40">
        <v>6.1683230798196291E-3</v>
      </c>
      <c r="H6" s="41">
        <v>79431.459852040804</v>
      </c>
      <c r="I6" s="41">
        <v>489.9589070691145</v>
      </c>
      <c r="J6" s="41">
        <v>395996.1258363137</v>
      </c>
      <c r="K6" s="40">
        <v>0.9923112092025167</v>
      </c>
      <c r="L6" s="41">
        <v>4312819.1397711337</v>
      </c>
      <c r="M6" s="42">
        <v>54.296108214613483</v>
      </c>
      <c r="N6" s="43">
        <v>2.6300595679822627</v>
      </c>
      <c r="O6" s="40">
        <v>0.99383167692018037</v>
      </c>
    </row>
    <row r="7" spans="1:21">
      <c r="A7" s="39">
        <v>1</v>
      </c>
      <c r="B7" s="39">
        <v>1950</v>
      </c>
      <c r="C7" s="39">
        <v>5</v>
      </c>
      <c r="D7" s="39">
        <v>20</v>
      </c>
      <c r="E7" s="39">
        <v>5</v>
      </c>
      <c r="F7" s="40">
        <v>1.9254817853961784E-3</v>
      </c>
      <c r="G7" s="40">
        <v>9.5845752048958829E-3</v>
      </c>
      <c r="H7" s="41">
        <v>78941.500944971689</v>
      </c>
      <c r="I7" s="41">
        <v>756.62075259443372</v>
      </c>
      <c r="J7" s="41">
        <v>392951.3944681444</v>
      </c>
      <c r="K7" s="40">
        <v>0.98796075787010929</v>
      </c>
      <c r="L7" s="41">
        <v>3916823.01393482</v>
      </c>
      <c r="M7" s="42">
        <v>49.616779096525505</v>
      </c>
      <c r="N7" s="43">
        <v>2.6790086041224912</v>
      </c>
      <c r="O7" s="40">
        <v>0.99041542479510414</v>
      </c>
      <c r="U7" s="63"/>
    </row>
    <row r="8" spans="1:21">
      <c r="A8" s="39">
        <v>1</v>
      </c>
      <c r="B8" s="39">
        <v>1950</v>
      </c>
      <c r="C8" s="39">
        <v>5</v>
      </c>
      <c r="D8" s="39">
        <v>25</v>
      </c>
      <c r="E8" s="39">
        <v>5</v>
      </c>
      <c r="F8" s="40">
        <v>2.9784803302118495E-3</v>
      </c>
      <c r="G8" s="40">
        <v>1.4789397789027787E-2</v>
      </c>
      <c r="H8" s="41">
        <v>78184.880192377255</v>
      </c>
      <c r="I8" s="41">
        <v>1156.3072942525469</v>
      </c>
      <c r="J8" s="41">
        <v>388220.5574848642</v>
      </c>
      <c r="K8" s="40">
        <v>0.9820527834407311</v>
      </c>
      <c r="L8" s="41">
        <v>3523871.6194666754</v>
      </c>
      <c r="M8" s="42">
        <v>45.071011310576139</v>
      </c>
      <c r="N8" s="43">
        <v>2.6616566457189963</v>
      </c>
      <c r="O8" s="40">
        <v>0.98521060221097223</v>
      </c>
      <c r="U8" s="63"/>
    </row>
    <row r="9" spans="1:21">
      <c r="A9" s="39">
        <v>1</v>
      </c>
      <c r="B9" s="39">
        <v>1950</v>
      </c>
      <c r="C9" s="39">
        <v>5</v>
      </c>
      <c r="D9" s="39">
        <v>30</v>
      </c>
      <c r="E9" s="39">
        <v>5</v>
      </c>
      <c r="F9" s="40">
        <v>4.3098923081983532E-3</v>
      </c>
      <c r="G9" s="40">
        <v>2.1331820792274792E-2</v>
      </c>
      <c r="H9" s="41">
        <v>77028.572898124708</v>
      </c>
      <c r="I9" s="41">
        <v>1643.1597129474831</v>
      </c>
      <c r="J9" s="41">
        <v>381253.07906692324</v>
      </c>
      <c r="K9" s="40">
        <v>0.97500931136874913</v>
      </c>
      <c r="L9" s="41">
        <v>3135651.0619818112</v>
      </c>
      <c r="M9" s="42">
        <v>40.707635413795259</v>
      </c>
      <c r="N9" s="43">
        <v>2.632740510219266</v>
      </c>
      <c r="O9" s="40">
        <v>0.9786681792077252</v>
      </c>
      <c r="U9" s="63"/>
    </row>
    <row r="10" spans="1:21">
      <c r="A10" s="39">
        <v>1</v>
      </c>
      <c r="B10" s="39">
        <v>1950</v>
      </c>
      <c r="C10" s="39">
        <v>5</v>
      </c>
      <c r="D10" s="39">
        <v>35</v>
      </c>
      <c r="E10" s="39">
        <v>5</v>
      </c>
      <c r="F10" s="40">
        <v>5.8806458027253457E-3</v>
      </c>
      <c r="G10" s="40">
        <v>2.8997451165567539E-2</v>
      </c>
      <c r="H10" s="41">
        <v>75385.413185177225</v>
      </c>
      <c r="I10" s="41">
        <v>2185.9848374333087</v>
      </c>
      <c r="J10" s="41">
        <v>371725.30207825609</v>
      </c>
      <c r="K10" s="40">
        <v>0.96552812795756515</v>
      </c>
      <c r="L10" s="41">
        <v>2754397.9829148878</v>
      </c>
      <c r="M10" s="42">
        <v>36.537545747066034</v>
      </c>
      <c r="N10" s="43">
        <v>2.620402594494776</v>
      </c>
      <c r="O10" s="40">
        <v>0.97100254883443249</v>
      </c>
      <c r="U10" s="63"/>
    </row>
    <row r="11" spans="1:21">
      <c r="A11" s="39">
        <v>1</v>
      </c>
      <c r="B11" s="39">
        <v>1950</v>
      </c>
      <c r="C11" s="39">
        <v>5</v>
      </c>
      <c r="D11" s="39">
        <v>40</v>
      </c>
      <c r="E11" s="39">
        <v>5</v>
      </c>
      <c r="F11" s="40">
        <v>8.1470168445937942E-3</v>
      </c>
      <c r="G11" s="40">
        <v>3.9946430505070171E-2</v>
      </c>
      <c r="H11" s="41">
        <v>73199.428347743917</v>
      </c>
      <c r="I11" s="41">
        <v>2924.0558775040117</v>
      </c>
      <c r="J11" s="41">
        <v>358911.23503007903</v>
      </c>
      <c r="K11" s="40">
        <v>0.95787313947714936</v>
      </c>
      <c r="L11" s="41">
        <v>2382672.6808366319</v>
      </c>
      <c r="M11" s="42">
        <v>32.550427436638152</v>
      </c>
      <c r="N11" s="43">
        <v>2.576685601956036</v>
      </c>
      <c r="O11" s="40">
        <v>0.96005356949492981</v>
      </c>
      <c r="U11" s="63"/>
    </row>
    <row r="12" spans="1:21">
      <c r="A12" s="39">
        <v>1</v>
      </c>
      <c r="B12" s="39">
        <v>1950</v>
      </c>
      <c r="C12" s="39">
        <v>5</v>
      </c>
      <c r="D12" s="39">
        <v>45</v>
      </c>
      <c r="E12" s="39">
        <v>5</v>
      </c>
      <c r="F12" s="40">
        <v>9.218641132459137E-3</v>
      </c>
      <c r="G12" s="40">
        <v>4.5098157717772376E-2</v>
      </c>
      <c r="H12" s="41">
        <v>70275.372470239905</v>
      </c>
      <c r="I12" s="41">
        <v>3169.289831338072</v>
      </c>
      <c r="J12" s="41">
        <v>343791.43149188283</v>
      </c>
      <c r="K12" s="40">
        <v>0.94244966352251958</v>
      </c>
      <c r="L12" s="41">
        <v>2023761.4458065529</v>
      </c>
      <c r="M12" s="42">
        <v>28.797591171268028</v>
      </c>
      <c r="N12" s="43">
        <v>2.6065834104815413</v>
      </c>
      <c r="O12" s="40">
        <v>0.95490184228222763</v>
      </c>
    </row>
    <row r="13" spans="1:21">
      <c r="A13" s="39">
        <v>1</v>
      </c>
      <c r="B13" s="39">
        <v>1950</v>
      </c>
      <c r="C13" s="39">
        <v>5</v>
      </c>
      <c r="D13" s="39">
        <v>50</v>
      </c>
      <c r="E13" s="39">
        <v>5</v>
      </c>
      <c r="F13" s="40">
        <v>1.4901153268770327E-2</v>
      </c>
      <c r="G13" s="40">
        <v>7.1946754278547437E-2</v>
      </c>
      <c r="H13" s="41">
        <v>67106.082638901833</v>
      </c>
      <c r="I13" s="41">
        <v>4828.0648382169747</v>
      </c>
      <c r="J13" s="41">
        <v>324006.1189314503</v>
      </c>
      <c r="K13" s="40">
        <v>0.9201685277560111</v>
      </c>
      <c r="L13" s="41">
        <v>1679970.0143146701</v>
      </c>
      <c r="M13" s="42">
        <v>25.034541553477307</v>
      </c>
      <c r="N13" s="43">
        <v>2.6130614129625438</v>
      </c>
      <c r="O13" s="40">
        <v>0.92805324572145254</v>
      </c>
    </row>
    <row r="14" spans="1:21">
      <c r="A14" s="39">
        <v>1</v>
      </c>
      <c r="B14" s="39">
        <v>1950</v>
      </c>
      <c r="C14" s="39">
        <v>5</v>
      </c>
      <c r="D14" s="39">
        <v>55</v>
      </c>
      <c r="E14" s="39">
        <v>5</v>
      </c>
      <c r="F14" s="40">
        <v>1.8410735747761052E-2</v>
      </c>
      <c r="G14" s="40">
        <v>8.8136733433403697E-2</v>
      </c>
      <c r="H14" s="41">
        <v>62278.017800684858</v>
      </c>
      <c r="I14" s="41">
        <v>5488.9810536597361</v>
      </c>
      <c r="J14" s="41">
        <v>298140.23344109167</v>
      </c>
      <c r="K14" s="40">
        <v>0.89461673283851018</v>
      </c>
      <c r="L14" s="41">
        <v>1355963.8953832197</v>
      </c>
      <c r="M14" s="42">
        <v>21.772752943468095</v>
      </c>
      <c r="N14" s="43">
        <v>2.5860992353948147</v>
      </c>
      <c r="O14" s="40">
        <v>0.91186326656659633</v>
      </c>
    </row>
    <row r="15" spans="1:21">
      <c r="A15" s="39">
        <v>1</v>
      </c>
      <c r="B15" s="39">
        <v>1950</v>
      </c>
      <c r="C15" s="39">
        <v>5</v>
      </c>
      <c r="D15" s="39">
        <v>60</v>
      </c>
      <c r="E15" s="39">
        <v>5</v>
      </c>
      <c r="F15" s="40">
        <v>2.708072710433301E-2</v>
      </c>
      <c r="G15" s="40">
        <v>0.12719013333557538</v>
      </c>
      <c r="H15" s="41">
        <v>56789.036747025122</v>
      </c>
      <c r="I15" s="41">
        <v>7223.0051558530104</v>
      </c>
      <c r="J15" s="41">
        <v>266721.24156878015</v>
      </c>
      <c r="K15" s="40">
        <v>0.84144245554688202</v>
      </c>
      <c r="L15" s="41">
        <v>1057823.6619421281</v>
      </c>
      <c r="M15" s="42">
        <v>18.627251359348719</v>
      </c>
      <c r="N15" s="43">
        <v>2.6154049741486869</v>
      </c>
      <c r="O15" s="40">
        <v>0.87280986666442462</v>
      </c>
    </row>
    <row r="16" spans="1:21">
      <c r="A16" s="39">
        <v>1</v>
      </c>
      <c r="B16" s="39">
        <v>1950</v>
      </c>
      <c r="C16" s="39">
        <v>5</v>
      </c>
      <c r="D16" s="39">
        <v>65</v>
      </c>
      <c r="E16" s="39">
        <v>5</v>
      </c>
      <c r="F16" s="40">
        <v>4.200065048808313E-2</v>
      </c>
      <c r="G16" s="40">
        <v>0.19017520462712437</v>
      </c>
      <c r="H16" s="41">
        <v>49566.031591172112</v>
      </c>
      <c r="I16" s="41">
        <v>9426.2302004056692</v>
      </c>
      <c r="J16" s="41">
        <v>224430.57645214748</v>
      </c>
      <c r="K16" s="40">
        <v>0.80445177964457515</v>
      </c>
      <c r="L16" s="41">
        <v>791102.42037334805</v>
      </c>
      <c r="M16" s="42">
        <v>15.960576123956759</v>
      </c>
      <c r="N16" s="43">
        <v>2.5176097966813873</v>
      </c>
      <c r="O16" s="40">
        <v>0.80982479537287566</v>
      </c>
    </row>
    <row r="17" spans="1:15">
      <c r="A17" s="39">
        <v>1</v>
      </c>
      <c r="B17" s="39">
        <v>1950</v>
      </c>
      <c r="C17" s="39">
        <v>5</v>
      </c>
      <c r="D17" s="39">
        <v>70</v>
      </c>
      <c r="E17" s="39">
        <v>5</v>
      </c>
      <c r="F17" s="40">
        <v>4.4851445913939428E-2</v>
      </c>
      <c r="G17" s="40">
        <v>0.20173593744669815</v>
      </c>
      <c r="H17" s="41">
        <v>40139.801390766443</v>
      </c>
      <c r="I17" s="41">
        <v>8097.6404624905445</v>
      </c>
      <c r="J17" s="41">
        <v>180543.57663358792</v>
      </c>
      <c r="K17" s="40">
        <v>0.75399070416142211</v>
      </c>
      <c r="L17" s="41">
        <v>566671.84392120061</v>
      </c>
      <c r="M17" s="42">
        <v>14.11745510159786</v>
      </c>
      <c r="N17" s="43">
        <v>2.5109502065932423</v>
      </c>
      <c r="O17" s="40">
        <v>0.79826406255330185</v>
      </c>
    </row>
    <row r="18" spans="1:15">
      <c r="A18" s="39">
        <v>1</v>
      </c>
      <c r="B18" s="39">
        <v>1950</v>
      </c>
      <c r="C18" s="39">
        <v>5</v>
      </c>
      <c r="D18" s="39">
        <v>75</v>
      </c>
      <c r="E18" s="39">
        <v>5</v>
      </c>
      <c r="F18" s="40">
        <v>6.9321878036952028E-2</v>
      </c>
      <c r="G18" s="40">
        <v>0.29450763345682091</v>
      </c>
      <c r="H18" s="41">
        <v>32042.160928275898</v>
      </c>
      <c r="I18" s="41">
        <v>9436.6609858291449</v>
      </c>
      <c r="J18" s="41">
        <v>136128.17847778063</v>
      </c>
      <c r="K18" s="40">
        <v>0.70143525455898847</v>
      </c>
      <c r="L18" s="41">
        <v>386128.26728761266</v>
      </c>
      <c r="M18" s="42">
        <v>12.050631296432639</v>
      </c>
      <c r="N18" s="43">
        <v>2.4479716713609516</v>
      </c>
      <c r="O18" s="40">
        <v>0.70549236654317915</v>
      </c>
    </row>
    <row r="19" spans="1:15">
      <c r="A19" s="39">
        <v>1</v>
      </c>
      <c r="B19" s="39">
        <v>1950</v>
      </c>
      <c r="C19" s="39">
        <v>5</v>
      </c>
      <c r="D19" s="39">
        <v>80</v>
      </c>
      <c r="E19" s="39">
        <v>5</v>
      </c>
      <c r="F19" s="40">
        <v>6.9884133140248231E-2</v>
      </c>
      <c r="G19" s="40">
        <v>0.29518894536797319</v>
      </c>
      <c r="H19" s="41">
        <v>22605.499942446753</v>
      </c>
      <c r="I19" s="41">
        <v>6672.8936875266354</v>
      </c>
      <c r="J19" s="41">
        <v>95485.103523213475</v>
      </c>
      <c r="K19" s="40">
        <v>0.69800891130867615</v>
      </c>
      <c r="L19" s="41">
        <v>250000.08880983206</v>
      </c>
      <c r="M19" s="42">
        <v>11.059259447759542</v>
      </c>
      <c r="N19" s="43">
        <v>2.3710961075535248</v>
      </c>
      <c r="O19" s="40">
        <v>0.70481105463202676</v>
      </c>
    </row>
    <row r="20" spans="1:15">
      <c r="A20" s="39">
        <v>1</v>
      </c>
      <c r="B20" s="39">
        <v>1950</v>
      </c>
      <c r="C20" s="39">
        <v>5</v>
      </c>
      <c r="D20" s="39">
        <v>85</v>
      </c>
      <c r="E20" s="39">
        <v>5</v>
      </c>
      <c r="F20" s="40">
        <v>7.510320275669688E-2</v>
      </c>
      <c r="G20" s="40">
        <v>0.31417254113619386</v>
      </c>
      <c r="H20" s="41">
        <v>15932.606254920118</v>
      </c>
      <c r="I20" s="41">
        <v>5005.5873940306719</v>
      </c>
      <c r="J20" s="41">
        <v>66649.45315643448</v>
      </c>
      <c r="K20" s="40">
        <v>0.6628150191478448</v>
      </c>
      <c r="L20" s="41">
        <v>154514.98528661858</v>
      </c>
      <c r="M20" s="42">
        <v>9.6980357647954243</v>
      </c>
      <c r="N20" s="43">
        <v>2.4001896093782662</v>
      </c>
      <c r="O20" s="40">
        <v>0.68582745886380614</v>
      </c>
    </row>
    <row r="21" spans="1:15">
      <c r="A21" s="39">
        <v>1</v>
      </c>
      <c r="B21" s="39">
        <v>1950</v>
      </c>
      <c r="C21" s="39">
        <v>5</v>
      </c>
      <c r="D21" s="39">
        <v>90</v>
      </c>
      <c r="E21" s="39">
        <v>5</v>
      </c>
      <c r="F21" s="40">
        <v>9.1723698625237465E-2</v>
      </c>
      <c r="G21" s="40">
        <v>0.37082482231044128</v>
      </c>
      <c r="H21" s="41">
        <v>10927.018860889446</v>
      </c>
      <c r="I21" s="41">
        <v>4052.0098274721686</v>
      </c>
      <c r="J21" s="41">
        <v>44176.258570075508</v>
      </c>
      <c r="K21" s="40">
        <v>0.58451464334934267</v>
      </c>
      <c r="L21" s="41">
        <v>87865.532130184103</v>
      </c>
      <c r="M21" s="42">
        <v>8.0411256948294447</v>
      </c>
      <c r="N21" s="43">
        <v>2.4188523276863743</v>
      </c>
      <c r="O21" s="40">
        <v>0.62917517768955866</v>
      </c>
    </row>
    <row r="22" spans="1:15">
      <c r="A22" s="39">
        <v>1</v>
      </c>
      <c r="B22" s="39">
        <v>1950</v>
      </c>
      <c r="C22" s="39">
        <v>5</v>
      </c>
      <c r="D22" s="39">
        <v>95</v>
      </c>
      <c r="E22" s="39">
        <v>5</v>
      </c>
      <c r="F22" s="40">
        <v>0.12730571055210535</v>
      </c>
      <c r="G22" s="40">
        <v>0.47814425172247876</v>
      </c>
      <c r="H22" s="41">
        <v>6875.0090334172774</v>
      </c>
      <c r="I22" s="41">
        <v>3287.2460498685864</v>
      </c>
      <c r="J22" s="41">
        <v>25821.67002259603</v>
      </c>
      <c r="K22" s="40">
        <v>0.40897003043389929</v>
      </c>
      <c r="L22" s="41">
        <v>43689.273560108595</v>
      </c>
      <c r="M22" s="42">
        <v>6.3547950770317021</v>
      </c>
      <c r="N22" s="43">
        <v>2.3980118875396341</v>
      </c>
      <c r="O22" s="40">
        <v>0.52185574827752124</v>
      </c>
    </row>
    <row r="23" spans="1:15">
      <c r="A23" s="39">
        <v>1</v>
      </c>
      <c r="B23" s="39">
        <v>1950</v>
      </c>
      <c r="C23" s="39">
        <v>5</v>
      </c>
      <c r="D23" s="39">
        <v>100</v>
      </c>
      <c r="E23" s="39">
        <v>0</v>
      </c>
      <c r="F23" s="40">
        <v>0.2007971005186161</v>
      </c>
      <c r="G23" s="40">
        <v>1</v>
      </c>
      <c r="H23" s="41">
        <v>3587.762983548691</v>
      </c>
      <c r="I23" s="41">
        <v>3587.762983548691</v>
      </c>
      <c r="J23" s="41">
        <v>17867.603537512565</v>
      </c>
      <c r="K23" s="40">
        <v>0</v>
      </c>
      <c r="L23" s="41">
        <v>17867.603537512565</v>
      </c>
      <c r="M23" s="42">
        <v>4.9801515929125131</v>
      </c>
      <c r="N23" s="43">
        <v>4.9801515929125131</v>
      </c>
      <c r="O23" s="40">
        <v>0</v>
      </c>
    </row>
    <row r="24" spans="1:15">
      <c r="A24" s="44">
        <v>2</v>
      </c>
      <c r="B24" s="44">
        <v>1950</v>
      </c>
      <c r="C24" s="44">
        <v>5</v>
      </c>
      <c r="D24" s="44">
        <v>0</v>
      </c>
      <c r="E24" s="44">
        <v>1</v>
      </c>
      <c r="F24" s="45">
        <v>0.17016676747969792</v>
      </c>
      <c r="G24" s="45">
        <v>0.1532194134801175</v>
      </c>
      <c r="H24" s="46">
        <v>100000</v>
      </c>
      <c r="I24" s="46">
        <v>15321.941348011751</v>
      </c>
      <c r="J24" s="46">
        <v>90040.738123792355</v>
      </c>
      <c r="K24" s="45">
        <v>0.83889566205436272</v>
      </c>
      <c r="L24" s="46">
        <v>6036663.6278395867</v>
      </c>
      <c r="M24" s="47">
        <v>60.366636278395866</v>
      </c>
      <c r="N24" s="48">
        <v>0.35</v>
      </c>
      <c r="O24" s="45">
        <v>0.84678058651988253</v>
      </c>
    </row>
    <row r="25" spans="1:15">
      <c r="A25" s="44">
        <v>2</v>
      </c>
      <c r="B25" s="44">
        <v>1950</v>
      </c>
      <c r="C25" s="44">
        <v>5</v>
      </c>
      <c r="D25" s="44">
        <v>1</v>
      </c>
      <c r="E25" s="44">
        <v>4</v>
      </c>
      <c r="F25" s="45">
        <v>1.0704112249227564E-2</v>
      </c>
      <c r="G25" s="45">
        <v>4.1640190555393794E-2</v>
      </c>
      <c r="H25" s="46">
        <v>84678.058651988249</v>
      </c>
      <c r="I25" s="46">
        <v>3526.0104981296026</v>
      </c>
      <c r="J25" s="46">
        <v>329407.09290338896</v>
      </c>
      <c r="K25" s="45">
        <v>0.96509718905599606</v>
      </c>
      <c r="L25" s="46">
        <v>5946622.8897157945</v>
      </c>
      <c r="M25" s="47">
        <v>70.226254408539958</v>
      </c>
      <c r="N25" s="48">
        <v>1.361</v>
      </c>
      <c r="O25" s="45">
        <v>0.95835980944460619</v>
      </c>
    </row>
    <row r="26" spans="1:15">
      <c r="A26" s="44">
        <v>2</v>
      </c>
      <c r="B26" s="44">
        <v>1950</v>
      </c>
      <c r="C26" s="44">
        <v>5</v>
      </c>
      <c r="D26" s="44">
        <v>5</v>
      </c>
      <c r="E26" s="44">
        <v>5</v>
      </c>
      <c r="F26" s="45">
        <v>9.4100736272300983E-4</v>
      </c>
      <c r="G26" s="45">
        <v>4.6939941060790517E-3</v>
      </c>
      <c r="H26" s="49">
        <v>81152.048153858646</v>
      </c>
      <c r="I26" s="46">
        <v>380.92723573045805</v>
      </c>
      <c r="J26" s="46">
        <v>404807.92267996707</v>
      </c>
      <c r="K26" s="45">
        <v>0.995967935392851</v>
      </c>
      <c r="L26" s="46">
        <v>5617215.7968124058</v>
      </c>
      <c r="M26" s="47">
        <v>69.218410682162386</v>
      </c>
      <c r="N26" s="48">
        <v>2.5</v>
      </c>
      <c r="O26" s="45">
        <v>0.99530600589392093</v>
      </c>
    </row>
    <row r="27" spans="1:15">
      <c r="A27" s="44">
        <v>2</v>
      </c>
      <c r="B27" s="44">
        <v>1950</v>
      </c>
      <c r="C27" s="44">
        <v>5</v>
      </c>
      <c r="D27" s="44">
        <v>10</v>
      </c>
      <c r="E27" s="44">
        <v>5</v>
      </c>
      <c r="F27" s="45">
        <v>6.7453826198898186E-4</v>
      </c>
      <c r="G27" s="45">
        <v>3.367013361592354E-3</v>
      </c>
      <c r="H27" s="46">
        <v>80771.120918128188</v>
      </c>
      <c r="I27" s="46">
        <v>271.95744336211646</v>
      </c>
      <c r="J27" s="46">
        <v>403175.71098223567</v>
      </c>
      <c r="K27" s="45">
        <v>0.99582806702813953</v>
      </c>
      <c r="L27" s="46">
        <v>5212407.8741324386</v>
      </c>
      <c r="M27" s="47">
        <v>64.533063487083183</v>
      </c>
      <c r="N27" s="48">
        <v>2.5</v>
      </c>
      <c r="O27" s="45">
        <v>0.9966329866384076</v>
      </c>
    </row>
    <row r="28" spans="1:15">
      <c r="A28" s="44">
        <v>2</v>
      </c>
      <c r="B28" s="44">
        <v>1950</v>
      </c>
      <c r="C28" s="44">
        <v>5</v>
      </c>
      <c r="D28" s="44">
        <v>15</v>
      </c>
      <c r="E28" s="44">
        <v>5</v>
      </c>
      <c r="F28" s="45">
        <v>1.05653061746557E-3</v>
      </c>
      <c r="G28" s="45">
        <v>5.2695004118573372E-3</v>
      </c>
      <c r="H28" s="46">
        <v>80499.163474766072</v>
      </c>
      <c r="I28" s="46">
        <v>424.1903750844649</v>
      </c>
      <c r="J28" s="46">
        <v>401493.68894013559</v>
      </c>
      <c r="K28" s="45">
        <v>0.99407092871626257</v>
      </c>
      <c r="L28" s="46">
        <v>4809232.1631502025</v>
      </c>
      <c r="M28" s="47">
        <v>59.742635271703712</v>
      </c>
      <c r="N28" s="48">
        <v>2.6375502779966893</v>
      </c>
      <c r="O28" s="45">
        <v>0.99473049958814264</v>
      </c>
    </row>
    <row r="29" spans="1:15">
      <c r="A29" s="44">
        <v>2</v>
      </c>
      <c r="B29" s="44">
        <v>1950</v>
      </c>
      <c r="C29" s="44">
        <v>5</v>
      </c>
      <c r="D29" s="44">
        <v>20</v>
      </c>
      <c r="E29" s="44">
        <v>5</v>
      </c>
      <c r="F29" s="45">
        <v>1.3192715946628744E-3</v>
      </c>
      <c r="G29" s="45">
        <v>6.5755715303355911E-3</v>
      </c>
      <c r="H29" s="46">
        <v>80074.973099681607</v>
      </c>
      <c r="I29" s="46">
        <v>526.53871340665501</v>
      </c>
      <c r="J29" s="46">
        <v>399113.2042384388</v>
      </c>
      <c r="K29" s="45">
        <v>0.99240009481784297</v>
      </c>
      <c r="L29" s="46">
        <v>4407738.4742100667</v>
      </c>
      <c r="M29" s="47">
        <v>55.045144613699442</v>
      </c>
      <c r="N29" s="48">
        <v>2.6038585049019378</v>
      </c>
      <c r="O29" s="45">
        <v>0.99342442846966439</v>
      </c>
    </row>
    <row r="30" spans="1:15">
      <c r="A30" s="44">
        <v>2</v>
      </c>
      <c r="B30" s="44">
        <v>1950</v>
      </c>
      <c r="C30" s="44">
        <v>5</v>
      </c>
      <c r="D30" s="44">
        <v>25</v>
      </c>
      <c r="E30" s="44">
        <v>5</v>
      </c>
      <c r="F30" s="45">
        <v>1.7624485736725118E-3</v>
      </c>
      <c r="G30" s="45">
        <v>8.7754159367773379E-3</v>
      </c>
      <c r="H30" s="46">
        <v>79548.434386274952</v>
      </c>
      <c r="I30" s="46">
        <v>698.07059885899071</v>
      </c>
      <c r="J30" s="46">
        <v>396079.9817292798</v>
      </c>
      <c r="K30" s="45">
        <v>0.98985734126810576</v>
      </c>
      <c r="L30" s="46">
        <v>4008625.2699716282</v>
      </c>
      <c r="M30" s="47">
        <v>50.392258513930784</v>
      </c>
      <c r="N30" s="48">
        <v>2.6188795161809257</v>
      </c>
      <c r="O30" s="45">
        <v>0.99122458406322267</v>
      </c>
    </row>
    <row r="31" spans="1:15">
      <c r="A31" s="44">
        <v>2</v>
      </c>
      <c r="B31" s="44">
        <v>1950</v>
      </c>
      <c r="C31" s="44">
        <v>5</v>
      </c>
      <c r="D31" s="44">
        <v>30</v>
      </c>
      <c r="E31" s="44">
        <v>5</v>
      </c>
      <c r="F31" s="45">
        <v>2.3757802871072994E-3</v>
      </c>
      <c r="G31" s="45">
        <v>1.1812942085701923E-2</v>
      </c>
      <c r="H31" s="46">
        <v>78850.363787415961</v>
      </c>
      <c r="I31" s="46">
        <v>931.45478085728246</v>
      </c>
      <c r="J31" s="46">
        <v>392062.67764406482</v>
      </c>
      <c r="K31" s="45">
        <v>0.98510389408434595</v>
      </c>
      <c r="L31" s="46">
        <v>3612545.2882423485</v>
      </c>
      <c r="M31" s="47">
        <v>45.815201284066731</v>
      </c>
      <c r="N31" s="48">
        <v>2.649761064084958</v>
      </c>
      <c r="O31" s="45">
        <v>0.98818705791429806</v>
      </c>
    </row>
    <row r="32" spans="1:15">
      <c r="A32" s="44">
        <v>2</v>
      </c>
      <c r="B32" s="44">
        <v>1950</v>
      </c>
      <c r="C32" s="44">
        <v>5</v>
      </c>
      <c r="D32" s="44">
        <v>35</v>
      </c>
      <c r="E32" s="44">
        <v>5</v>
      </c>
      <c r="F32" s="45">
        <v>3.7036358069762751E-3</v>
      </c>
      <c r="G32" s="45">
        <v>1.8357897836835196E-2</v>
      </c>
      <c r="H32" s="46">
        <v>77918.909006558679</v>
      </c>
      <c r="I32" s="46">
        <v>1430.4273711000569</v>
      </c>
      <c r="J32" s="46">
        <v>386222.47047230392</v>
      </c>
      <c r="K32" s="45">
        <v>0.97858372654028769</v>
      </c>
      <c r="L32" s="46">
        <v>3220482.6105982838</v>
      </c>
      <c r="M32" s="47">
        <v>41.331207683198002</v>
      </c>
      <c r="N32" s="48">
        <v>2.6426104333446951</v>
      </c>
      <c r="O32" s="45">
        <v>0.98164210216316483</v>
      </c>
    </row>
    <row r="33" spans="1:15">
      <c r="A33" s="44">
        <v>2</v>
      </c>
      <c r="B33" s="44">
        <v>1950</v>
      </c>
      <c r="C33" s="44">
        <v>5</v>
      </c>
      <c r="D33" s="44">
        <v>40</v>
      </c>
      <c r="E33" s="44">
        <v>5</v>
      </c>
      <c r="F33" s="45">
        <v>4.8885335138579619E-3</v>
      </c>
      <c r="G33" s="45">
        <v>2.4155614152740305E-2</v>
      </c>
      <c r="H33" s="46">
        <v>76488.481635458622</v>
      </c>
      <c r="I33" s="46">
        <v>1847.6262495151022</v>
      </c>
      <c r="J33" s="46">
        <v>377951.02442838339</v>
      </c>
      <c r="K33" s="45">
        <v>0.97483914803850213</v>
      </c>
      <c r="L33" s="46">
        <v>2834260.1401259797</v>
      </c>
      <c r="M33" s="47">
        <v>37.054731372940076</v>
      </c>
      <c r="N33" s="48">
        <v>2.5691059000225391</v>
      </c>
      <c r="O33" s="45">
        <v>0.97584438584725974</v>
      </c>
    </row>
    <row r="34" spans="1:15">
      <c r="A34" s="44">
        <v>2</v>
      </c>
      <c r="B34" s="44">
        <v>1950</v>
      </c>
      <c r="C34" s="44">
        <v>5</v>
      </c>
      <c r="D34" s="44">
        <v>45</v>
      </c>
      <c r="E34" s="44">
        <v>5</v>
      </c>
      <c r="F34" s="45">
        <v>5.4189856199553616E-3</v>
      </c>
      <c r="G34" s="45">
        <v>2.674914340466817E-2</v>
      </c>
      <c r="H34" s="46">
        <v>74640.85538594352</v>
      </c>
      <c r="I34" s="46">
        <v>1996.5789445656992</v>
      </c>
      <c r="J34" s="46">
        <v>368441.45465404436</v>
      </c>
      <c r="K34" s="45">
        <v>0.9653638492172032</v>
      </c>
      <c r="L34" s="46">
        <v>2456309.1156975962</v>
      </c>
      <c r="M34" s="47">
        <v>32.908373075265857</v>
      </c>
      <c r="N34" s="48">
        <v>2.6145084126842382</v>
      </c>
      <c r="O34" s="45">
        <v>0.97325085659533184</v>
      </c>
    </row>
    <row r="35" spans="1:15">
      <c r="A35" s="44">
        <v>2</v>
      </c>
      <c r="B35" s="44">
        <v>1950</v>
      </c>
      <c r="C35" s="44">
        <v>5</v>
      </c>
      <c r="D35" s="44">
        <v>50</v>
      </c>
      <c r="E35" s="44">
        <v>5</v>
      </c>
      <c r="F35" s="45">
        <v>8.9416720390718078E-3</v>
      </c>
      <c r="G35" s="45">
        <v>4.3780110574256972E-2</v>
      </c>
      <c r="H35" s="46">
        <v>72644.27644137782</v>
      </c>
      <c r="I35" s="46">
        <v>3180.3744551904092</v>
      </c>
      <c r="J35" s="46">
        <v>355680.06087601389</v>
      </c>
      <c r="K35" s="45">
        <v>0.95159370110064845</v>
      </c>
      <c r="L35" s="46">
        <v>2087867.661043552</v>
      </c>
      <c r="M35" s="47">
        <v>28.740979514448203</v>
      </c>
      <c r="N35" s="48">
        <v>2.6287945217998829</v>
      </c>
      <c r="O35" s="45">
        <v>0.95621988942574299</v>
      </c>
    </row>
    <row r="36" spans="1:15">
      <c r="A36" s="44">
        <v>2</v>
      </c>
      <c r="B36" s="44">
        <v>1950</v>
      </c>
      <c r="C36" s="44">
        <v>5</v>
      </c>
      <c r="D36" s="44">
        <v>55</v>
      </c>
      <c r="E36" s="44">
        <v>5</v>
      </c>
      <c r="F36" s="45">
        <v>1.0996082444724086E-2</v>
      </c>
      <c r="G36" s="45">
        <v>5.3578418536041651E-2</v>
      </c>
      <c r="H36" s="46">
        <v>69463.901986187411</v>
      </c>
      <c r="I36" s="46">
        <v>3721.7660137625353</v>
      </c>
      <c r="J36" s="46">
        <v>338462.90553670999</v>
      </c>
      <c r="K36" s="45">
        <v>0.93249803069435977</v>
      </c>
      <c r="L36" s="46">
        <v>1732187.600167538</v>
      </c>
      <c r="M36" s="47">
        <v>24.936514515294231</v>
      </c>
      <c r="N36" s="48">
        <v>2.620322083259226</v>
      </c>
      <c r="O36" s="45">
        <v>0.94642158146395838</v>
      </c>
    </row>
    <row r="37" spans="1:15">
      <c r="A37" s="44">
        <v>2</v>
      </c>
      <c r="B37" s="44">
        <v>1950</v>
      </c>
      <c r="C37" s="44">
        <v>5</v>
      </c>
      <c r="D37" s="44">
        <v>60</v>
      </c>
      <c r="E37" s="44">
        <v>5</v>
      </c>
      <c r="F37" s="45">
        <v>1.7782759575583281E-2</v>
      </c>
      <c r="G37" s="45">
        <v>8.5371782290103143E-2</v>
      </c>
      <c r="H37" s="46">
        <v>65742.135972424876</v>
      </c>
      <c r="I37" s="46">
        <v>5612.5233195242108</v>
      </c>
      <c r="J37" s="46">
        <v>315615.99287607317</v>
      </c>
      <c r="K37" s="45">
        <v>0.88963458127141537</v>
      </c>
      <c r="L37" s="46">
        <v>1393724.694630828</v>
      </c>
      <c r="M37" s="47">
        <v>21.19986936864079</v>
      </c>
      <c r="N37" s="48">
        <v>2.6668806095648807</v>
      </c>
      <c r="O37" s="45">
        <v>0.91462821770989688</v>
      </c>
    </row>
    <row r="38" spans="1:15">
      <c r="A38" s="44">
        <v>2</v>
      </c>
      <c r="B38" s="44">
        <v>1950</v>
      </c>
      <c r="C38" s="44">
        <v>5</v>
      </c>
      <c r="D38" s="44">
        <v>65</v>
      </c>
      <c r="E38" s="44">
        <v>5</v>
      </c>
      <c r="F38" s="45">
        <v>2.9265038831763669E-2</v>
      </c>
      <c r="G38" s="45">
        <v>0.13665683442784038</v>
      </c>
      <c r="H38" s="46">
        <v>60129.612652900665</v>
      </c>
      <c r="I38" s="46">
        <v>8217.1225205176161</v>
      </c>
      <c r="J38" s="46">
        <v>280782.90166486736</v>
      </c>
      <c r="K38" s="45">
        <v>0.85203493776790129</v>
      </c>
      <c r="L38" s="46">
        <v>1078108.7017547549</v>
      </c>
      <c r="M38" s="47">
        <v>17.929746329452641</v>
      </c>
      <c r="N38" s="48">
        <v>2.5824673965814724</v>
      </c>
      <c r="O38" s="45">
        <v>0.86334316557215962</v>
      </c>
    </row>
    <row r="39" spans="1:15">
      <c r="A39" s="44">
        <v>2</v>
      </c>
      <c r="B39" s="44">
        <v>1950</v>
      </c>
      <c r="C39" s="44">
        <v>5</v>
      </c>
      <c r="D39" s="44">
        <v>70</v>
      </c>
      <c r="E39" s="44">
        <v>5</v>
      </c>
      <c r="F39" s="45">
        <v>3.5400406979753968E-2</v>
      </c>
      <c r="G39" s="45">
        <v>0.16314150130216398</v>
      </c>
      <c r="H39" s="46">
        <v>51912.490132383049</v>
      </c>
      <c r="I39" s="46">
        <v>8469.0815765307489</v>
      </c>
      <c r="J39" s="46">
        <v>239236.84214631602</v>
      </c>
      <c r="K39" s="45">
        <v>0.77632508965851443</v>
      </c>
      <c r="L39" s="46">
        <v>797325.80008988758</v>
      </c>
      <c r="M39" s="47">
        <v>15.359035909404684</v>
      </c>
      <c r="N39" s="48">
        <v>2.6000221119696234</v>
      </c>
      <c r="O39" s="45">
        <v>0.83685849869783602</v>
      </c>
    </row>
    <row r="40" spans="1:15">
      <c r="A40" s="44">
        <v>2</v>
      </c>
      <c r="B40" s="44">
        <v>1950</v>
      </c>
      <c r="C40" s="44">
        <v>5</v>
      </c>
      <c r="D40" s="44">
        <v>75</v>
      </c>
      <c r="E40" s="44">
        <v>5</v>
      </c>
      <c r="F40" s="45">
        <v>6.7390482375108446E-2</v>
      </c>
      <c r="G40" s="45">
        <v>0.28810205486232005</v>
      </c>
      <c r="H40" s="46">
        <v>43443.4085558523</v>
      </c>
      <c r="I40" s="46">
        <v>12516.135275164339</v>
      </c>
      <c r="J40" s="46">
        <v>185725.56292885865</v>
      </c>
      <c r="K40" s="45">
        <v>0.71186688729801295</v>
      </c>
      <c r="L40" s="46">
        <v>558088.9579435715</v>
      </c>
      <c r="M40" s="47">
        <v>12.846343703120663</v>
      </c>
      <c r="N40" s="48">
        <v>2.4839294112703358</v>
      </c>
      <c r="O40" s="45">
        <v>0.7118979451376799</v>
      </c>
    </row>
    <row r="41" spans="1:15">
      <c r="A41" s="44">
        <v>2</v>
      </c>
      <c r="B41" s="44">
        <v>1950</v>
      </c>
      <c r="C41" s="44">
        <v>5</v>
      </c>
      <c r="D41" s="44">
        <v>80</v>
      </c>
      <c r="E41" s="44">
        <v>5</v>
      </c>
      <c r="F41" s="45">
        <v>6.4295478793991723E-2</v>
      </c>
      <c r="G41" s="45">
        <v>0.27485856723123997</v>
      </c>
      <c r="H41" s="46">
        <v>30927.273280687961</v>
      </c>
      <c r="I41" s="46">
        <v>8500.626022298904</v>
      </c>
      <c r="J41" s="46">
        <v>132211.87837383783</v>
      </c>
      <c r="K41" s="45">
        <v>0.72395269899541415</v>
      </c>
      <c r="L41" s="46">
        <v>372363.39501471288</v>
      </c>
      <c r="M41" s="47">
        <v>12.039968465219635</v>
      </c>
      <c r="N41" s="48">
        <v>2.3620192241397402</v>
      </c>
      <c r="O41" s="45">
        <v>0.72514143276875997</v>
      </c>
    </row>
    <row r="42" spans="1:15">
      <c r="A42" s="44">
        <v>2</v>
      </c>
      <c r="B42" s="44">
        <v>1950</v>
      </c>
      <c r="C42" s="44">
        <v>5</v>
      </c>
      <c r="D42" s="44">
        <v>85</v>
      </c>
      <c r="E42" s="44">
        <v>5</v>
      </c>
      <c r="F42" s="45">
        <v>6.6098817735943588E-2</v>
      </c>
      <c r="G42" s="45">
        <v>0.28210449513726465</v>
      </c>
      <c r="H42" s="46">
        <v>22426.647258389057</v>
      </c>
      <c r="I42" s="46">
        <v>6326.6580024493651</v>
      </c>
      <c r="J42" s="46">
        <v>95715.146187993319</v>
      </c>
      <c r="K42" s="45">
        <v>0.69973189393865387</v>
      </c>
      <c r="L42" s="46">
        <v>240151.51664087505</v>
      </c>
      <c r="M42" s="47">
        <v>10.708311138707655</v>
      </c>
      <c r="N42" s="48">
        <v>2.4049347858544419</v>
      </c>
      <c r="O42" s="45">
        <v>0.71789550486273535</v>
      </c>
    </row>
    <row r="43" spans="1:15">
      <c r="A43" s="44">
        <v>2</v>
      </c>
      <c r="B43" s="44">
        <v>1950</v>
      </c>
      <c r="C43" s="44">
        <v>5</v>
      </c>
      <c r="D43" s="44">
        <v>90</v>
      </c>
      <c r="E43" s="44">
        <v>5</v>
      </c>
      <c r="F43" s="45">
        <v>7.8898677342097517E-2</v>
      </c>
      <c r="G43" s="45">
        <v>0.32821352475142346</v>
      </c>
      <c r="H43" s="46">
        <v>16099.989255939692</v>
      </c>
      <c r="I43" s="46">
        <v>5284.2342221520139</v>
      </c>
      <c r="J43" s="46">
        <v>66974.940520739692</v>
      </c>
      <c r="K43" s="45">
        <v>0.63081540461954677</v>
      </c>
      <c r="L43" s="46">
        <v>144436.37045288173</v>
      </c>
      <c r="M43" s="47">
        <v>8.9712091205027047</v>
      </c>
      <c r="N43" s="48">
        <v>2.4404984354666457</v>
      </c>
      <c r="O43" s="45">
        <v>0.67178647524857649</v>
      </c>
    </row>
    <row r="44" spans="1:15">
      <c r="A44" s="44">
        <v>2</v>
      </c>
      <c r="B44" s="44">
        <v>1950</v>
      </c>
      <c r="C44" s="44">
        <v>5</v>
      </c>
      <c r="D44" s="44">
        <v>95</v>
      </c>
      <c r="E44" s="44">
        <v>5</v>
      </c>
      <c r="F44" s="45">
        <v>0.10934741688214225</v>
      </c>
      <c r="G44" s="45">
        <v>0.42713613414679513</v>
      </c>
      <c r="H44" s="46">
        <v>10815.755033787678</v>
      </c>
      <c r="I44" s="46">
        <v>4619.7997930108077</v>
      </c>
      <c r="J44" s="46">
        <v>42248.824203960488</v>
      </c>
      <c r="K44" s="45">
        <v>0.45458243875730908</v>
      </c>
      <c r="L44" s="46">
        <v>77461.429932142026</v>
      </c>
      <c r="M44" s="47">
        <v>7.1619068377711796</v>
      </c>
      <c r="N44" s="48">
        <v>2.4392935852165767</v>
      </c>
      <c r="O44" s="45">
        <v>0.57286386585320481</v>
      </c>
    </row>
    <row r="45" spans="1:15">
      <c r="A45" s="44">
        <v>2</v>
      </c>
      <c r="B45" s="44">
        <v>1950</v>
      </c>
      <c r="C45" s="44">
        <v>5</v>
      </c>
      <c r="D45" s="44">
        <v>100</v>
      </c>
      <c r="E45" s="44">
        <v>0</v>
      </c>
      <c r="F45" s="45">
        <v>0.17595844194563795</v>
      </c>
      <c r="G45" s="45">
        <v>1</v>
      </c>
      <c r="H45" s="46">
        <v>6195.9552407768706</v>
      </c>
      <c r="I45" s="46">
        <v>6195.9552407768706</v>
      </c>
      <c r="J45" s="46">
        <v>35212.605728181545</v>
      </c>
      <c r="K45" s="45">
        <v>0</v>
      </c>
      <c r="L45" s="46">
        <v>35212.605728181545</v>
      </c>
      <c r="M45" s="47">
        <v>5.6831601197568471</v>
      </c>
      <c r="N45" s="48">
        <v>5.6831601197568471</v>
      </c>
      <c r="O45" s="45">
        <v>0</v>
      </c>
    </row>
    <row r="46" spans="1:15">
      <c r="A46" s="39">
        <v>1</v>
      </c>
      <c r="B46" s="39">
        <v>1955</v>
      </c>
      <c r="C46" s="39">
        <v>5</v>
      </c>
      <c r="D46" s="39">
        <v>0</v>
      </c>
      <c r="E46" s="39">
        <v>1</v>
      </c>
      <c r="F46" s="40">
        <v>0.14991920751612942</v>
      </c>
      <c r="G46" s="40">
        <v>0.13623496778400032</v>
      </c>
      <c r="H46" s="41">
        <v>100000</v>
      </c>
      <c r="I46" s="41">
        <v>13623.496778400033</v>
      </c>
      <c r="J46" s="41">
        <v>90872.257158471984</v>
      </c>
      <c r="K46" s="40">
        <v>0.86045218410066759</v>
      </c>
      <c r="L46" s="41">
        <v>5840998.7065013293</v>
      </c>
      <c r="M46" s="42">
        <v>58.40998706501329</v>
      </c>
      <c r="N46" s="43">
        <v>0.33</v>
      </c>
      <c r="O46" s="40">
        <v>0.86376503221599965</v>
      </c>
    </row>
    <row r="47" spans="1:15">
      <c r="A47" s="39">
        <v>1</v>
      </c>
      <c r="B47" s="39">
        <v>1955</v>
      </c>
      <c r="C47" s="39">
        <v>5</v>
      </c>
      <c r="D47" s="39">
        <v>1</v>
      </c>
      <c r="E47" s="39">
        <v>4</v>
      </c>
      <c r="F47" s="40">
        <v>6.8463350623417327E-3</v>
      </c>
      <c r="G47" s="40">
        <v>2.6897709118876366E-2</v>
      </c>
      <c r="H47" s="41">
        <v>86376.503221599967</v>
      </c>
      <c r="I47" s="41">
        <v>2323.3300583602831</v>
      </c>
      <c r="J47" s="41">
        <v>339353.83489186183</v>
      </c>
      <c r="K47" s="40">
        <v>0.97414789596294604</v>
      </c>
      <c r="L47" s="41">
        <v>5750126.4493428571</v>
      </c>
      <c r="M47" s="42">
        <v>66.570493535618567</v>
      </c>
      <c r="N47" s="43">
        <v>1.3520000000000001</v>
      </c>
      <c r="O47" s="40">
        <v>0.97310229088112365</v>
      </c>
    </row>
    <row r="48" spans="1:15">
      <c r="A48" s="39">
        <v>1</v>
      </c>
      <c r="B48" s="39">
        <v>1955</v>
      </c>
      <c r="C48" s="39">
        <v>5</v>
      </c>
      <c r="D48" s="39">
        <v>5</v>
      </c>
      <c r="E48" s="39">
        <v>5</v>
      </c>
      <c r="F48" s="40">
        <v>1.1090554078090188E-3</v>
      </c>
      <c r="G48" s="40">
        <v>5.5299445019082816E-3</v>
      </c>
      <c r="H48" s="41">
        <v>84053.173163239684</v>
      </c>
      <c r="I48" s="41">
        <v>464.80938280200644</v>
      </c>
      <c r="J48" s="41">
        <v>419103.84235919343</v>
      </c>
      <c r="K48" s="40">
        <v>0.99488407508234844</v>
      </c>
      <c r="L48" s="41">
        <v>5410772.6144509949</v>
      </c>
      <c r="M48" s="42">
        <v>64.373210562113258</v>
      </c>
      <c r="N48" s="43">
        <v>2.5</v>
      </c>
      <c r="O48" s="40">
        <v>0.99447005549809175</v>
      </c>
    </row>
    <row r="49" spans="1:15">
      <c r="A49" s="39">
        <v>1</v>
      </c>
      <c r="B49" s="39">
        <v>1955</v>
      </c>
      <c r="C49" s="39">
        <v>5</v>
      </c>
      <c r="D49" s="39">
        <v>10</v>
      </c>
      <c r="E49" s="39">
        <v>5</v>
      </c>
      <c r="F49" s="40">
        <v>9.4213444835170403E-4</v>
      </c>
      <c r="G49" s="40">
        <v>4.6996030968307588E-3</v>
      </c>
      <c r="H49" s="41">
        <v>83588.363780437678</v>
      </c>
      <c r="I49" s="41">
        <v>392.83213328155398</v>
      </c>
      <c r="J49" s="41">
        <v>416959.7385689845</v>
      </c>
      <c r="K49" s="40">
        <v>0.99467819648263223</v>
      </c>
      <c r="L49" s="41">
        <v>4991668.7720918013</v>
      </c>
      <c r="M49" s="42">
        <v>59.717268604556772</v>
      </c>
      <c r="N49" s="43">
        <v>2.5</v>
      </c>
      <c r="O49" s="40">
        <v>0.99530039690316929</v>
      </c>
    </row>
    <row r="50" spans="1:15">
      <c r="A50" s="39">
        <v>1</v>
      </c>
      <c r="B50" s="39">
        <v>1955</v>
      </c>
      <c r="C50" s="39">
        <v>5</v>
      </c>
      <c r="D50" s="39">
        <v>15</v>
      </c>
      <c r="E50" s="39">
        <v>5</v>
      </c>
      <c r="F50" s="40">
        <v>1.2697779665449612E-3</v>
      </c>
      <c r="G50" s="40">
        <v>6.3300115934332279E-3</v>
      </c>
      <c r="H50" s="41">
        <v>83195.531647156124</v>
      </c>
      <c r="I50" s="41">
        <v>526.62867984834884</v>
      </c>
      <c r="J50" s="41">
        <v>414740.76076566731</v>
      </c>
      <c r="K50" s="40">
        <v>0.99207606916597502</v>
      </c>
      <c r="L50" s="41">
        <v>4574709.0335228164</v>
      </c>
      <c r="M50" s="42">
        <v>54.987436740290292</v>
      </c>
      <c r="N50" s="43">
        <v>2.651291094762414</v>
      </c>
      <c r="O50" s="40">
        <v>0.99366998840656673</v>
      </c>
    </row>
    <row r="51" spans="1:15">
      <c r="A51" s="39">
        <v>1</v>
      </c>
      <c r="B51" s="39">
        <v>1955</v>
      </c>
      <c r="C51" s="39">
        <v>5</v>
      </c>
      <c r="D51" s="39">
        <v>20</v>
      </c>
      <c r="E51" s="39">
        <v>5</v>
      </c>
      <c r="F51" s="40">
        <v>1.972472331315069E-3</v>
      </c>
      <c r="G51" s="40">
        <v>9.8172633026849376E-3</v>
      </c>
      <c r="H51" s="41">
        <v>82668.902967307775</v>
      </c>
      <c r="I51" s="41">
        <v>811.5823873741756</v>
      </c>
      <c r="J51" s="41">
        <v>411454.38366330927</v>
      </c>
      <c r="K51" s="40">
        <v>0.98789429959207897</v>
      </c>
      <c r="L51" s="41">
        <v>4159968.2727571493</v>
      </c>
      <c r="M51" s="42">
        <v>50.320835567423089</v>
      </c>
      <c r="N51" s="43">
        <v>2.6710544700890093</v>
      </c>
      <c r="O51" s="40">
        <v>0.99018273669731505</v>
      </c>
    </row>
    <row r="52" spans="1:15">
      <c r="A52" s="39">
        <v>1</v>
      </c>
      <c r="B52" s="39">
        <v>1955</v>
      </c>
      <c r="C52" s="39">
        <v>5</v>
      </c>
      <c r="D52" s="39">
        <v>25</v>
      </c>
      <c r="E52" s="39">
        <v>5</v>
      </c>
      <c r="F52" s="40">
        <v>2.9435850270162797E-3</v>
      </c>
      <c r="G52" s="40">
        <v>1.461676394813939E-2</v>
      </c>
      <c r="H52" s="41">
        <v>81857.320579933599</v>
      </c>
      <c r="I52" s="41">
        <v>1196.4891323440534</v>
      </c>
      <c r="J52" s="41">
        <v>406473.44016315544</v>
      </c>
      <c r="K52" s="40">
        <v>0.9825165874318198</v>
      </c>
      <c r="L52" s="41">
        <v>3748513.88909384</v>
      </c>
      <c r="M52" s="42">
        <v>45.793263968778696</v>
      </c>
      <c r="N52" s="43">
        <v>2.648818814591928</v>
      </c>
      <c r="O52" s="40">
        <v>0.98538323605186062</v>
      </c>
    </row>
    <row r="53" spans="1:15">
      <c r="A53" s="39">
        <v>1</v>
      </c>
      <c r="B53" s="39">
        <v>1955</v>
      </c>
      <c r="C53" s="39">
        <v>5</v>
      </c>
      <c r="D53" s="39">
        <v>30</v>
      </c>
      <c r="E53" s="39">
        <v>5</v>
      </c>
      <c r="F53" s="40">
        <v>4.1497741319870178E-3</v>
      </c>
      <c r="G53" s="40">
        <v>2.0546309651035686E-2</v>
      </c>
      <c r="H53" s="41">
        <v>80660.831447589546</v>
      </c>
      <c r="I53" s="41">
        <v>1657.2824196321744</v>
      </c>
      <c r="J53" s="41">
        <v>399366.89731077547</v>
      </c>
      <c r="K53" s="40">
        <v>0.97614573699382789</v>
      </c>
      <c r="L53" s="41">
        <v>3342040.4489306845</v>
      </c>
      <c r="M53" s="42">
        <v>41.433250673869139</v>
      </c>
      <c r="N53" s="43">
        <v>2.6242673665444887</v>
      </c>
      <c r="O53" s="40">
        <v>0.97945369034896435</v>
      </c>
    </row>
    <row r="54" spans="1:15">
      <c r="A54" s="39">
        <v>1</v>
      </c>
      <c r="B54" s="39">
        <v>1955</v>
      </c>
      <c r="C54" s="39">
        <v>5</v>
      </c>
      <c r="D54" s="39">
        <v>35</v>
      </c>
      <c r="E54" s="39">
        <v>5</v>
      </c>
      <c r="F54" s="40">
        <v>5.5711936799004063E-3</v>
      </c>
      <c r="G54" s="40">
        <v>2.7490863518568821E-2</v>
      </c>
      <c r="H54" s="41">
        <v>79003.549027957371</v>
      </c>
      <c r="I54" s="41">
        <v>2171.8757838101301</v>
      </c>
      <c r="J54" s="41">
        <v>389840.29430636531</v>
      </c>
      <c r="K54" s="40">
        <v>0.96748050337677172</v>
      </c>
      <c r="L54" s="41">
        <v>2942673.5516199088</v>
      </c>
      <c r="M54" s="42">
        <v>37.247358983563771</v>
      </c>
      <c r="N54" s="43">
        <v>2.6161386060768423</v>
      </c>
      <c r="O54" s="40">
        <v>0.97250913648143122</v>
      </c>
    </row>
    <row r="55" spans="1:15">
      <c r="A55" s="39">
        <v>1</v>
      </c>
      <c r="B55" s="39">
        <v>1955</v>
      </c>
      <c r="C55" s="39">
        <v>5</v>
      </c>
      <c r="D55" s="39">
        <v>40</v>
      </c>
      <c r="E55" s="39">
        <v>5</v>
      </c>
      <c r="F55" s="40">
        <v>7.6616790181413871E-3</v>
      </c>
      <c r="G55" s="40">
        <v>3.7610803384435919E-2</v>
      </c>
      <c r="H55" s="41">
        <v>76831.673244147241</v>
      </c>
      <c r="I55" s="41">
        <v>2889.7009560828592</v>
      </c>
      <c r="J55" s="41">
        <v>377162.88417207112</v>
      </c>
      <c r="K55" s="40">
        <v>0.96003384518946544</v>
      </c>
      <c r="L55" s="41">
        <v>2552833.2573135435</v>
      </c>
      <c r="M55" s="42">
        <v>33.226313439789742</v>
      </c>
      <c r="N55" s="43">
        <v>2.5791674796177513</v>
      </c>
      <c r="O55" s="40">
        <v>0.9623891966155641</v>
      </c>
    </row>
    <row r="56" spans="1:15">
      <c r="A56" s="39">
        <v>1</v>
      </c>
      <c r="B56" s="39">
        <v>1955</v>
      </c>
      <c r="C56" s="39">
        <v>5</v>
      </c>
      <c r="D56" s="39">
        <v>45</v>
      </c>
      <c r="E56" s="39">
        <v>5</v>
      </c>
      <c r="F56" s="40">
        <v>8.7954102991768205E-3</v>
      </c>
      <c r="G56" s="40">
        <v>4.3070564652995712E-2</v>
      </c>
      <c r="H56" s="41">
        <v>73941.972288064382</v>
      </c>
      <c r="I56" s="41">
        <v>3184.7224980030878</v>
      </c>
      <c r="J56" s="41">
        <v>362089.13395446242</v>
      </c>
      <c r="K56" s="40">
        <v>0.94550697494898595</v>
      </c>
      <c r="L56" s="41">
        <v>2175670.3731414722</v>
      </c>
      <c r="M56" s="42">
        <v>29.424024080199793</v>
      </c>
      <c r="N56" s="43">
        <v>2.607098423602717</v>
      </c>
      <c r="O56" s="40">
        <v>0.95692943534700425</v>
      </c>
    </row>
    <row r="57" spans="1:15">
      <c r="A57" s="39">
        <v>1</v>
      </c>
      <c r="B57" s="39">
        <v>1955</v>
      </c>
      <c r="C57" s="39">
        <v>5</v>
      </c>
      <c r="D57" s="39">
        <v>50</v>
      </c>
      <c r="E57" s="39">
        <v>5</v>
      </c>
      <c r="F57" s="40">
        <v>1.3988809505985966E-2</v>
      </c>
      <c r="G57" s="40">
        <v>6.7684627160884678E-2</v>
      </c>
      <c r="H57" s="41">
        <v>70757.249790061294</v>
      </c>
      <c r="I57" s="41">
        <v>4789.1780709698796</v>
      </c>
      <c r="J57" s="41">
        <v>342357.8017071819</v>
      </c>
      <c r="K57" s="40">
        <v>0.9245336051849028</v>
      </c>
      <c r="L57" s="41">
        <v>1813581.2391870099</v>
      </c>
      <c r="M57" s="42">
        <v>25.631030665662603</v>
      </c>
      <c r="N57" s="43">
        <v>2.613693399207826</v>
      </c>
      <c r="O57" s="40">
        <v>0.93231537283911536</v>
      </c>
    </row>
    <row r="58" spans="1:15">
      <c r="A58" s="39">
        <v>1</v>
      </c>
      <c r="B58" s="39">
        <v>1955</v>
      </c>
      <c r="C58" s="39">
        <v>5</v>
      </c>
      <c r="D58" s="39">
        <v>55</v>
      </c>
      <c r="E58" s="39">
        <v>5</v>
      </c>
      <c r="F58" s="40">
        <v>1.7458845746385249E-2</v>
      </c>
      <c r="G58" s="40">
        <v>8.3769258070780797E-2</v>
      </c>
      <c r="H58" s="41">
        <v>65968.071719091415</v>
      </c>
      <c r="I58" s="41">
        <v>5526.0964242683476</v>
      </c>
      <c r="J58" s="41">
        <v>316521.29267551895</v>
      </c>
      <c r="K58" s="40">
        <v>0.89978540400168905</v>
      </c>
      <c r="L58" s="41">
        <v>1471223.437479828</v>
      </c>
      <c r="M58" s="42">
        <v>22.302053086297054</v>
      </c>
      <c r="N58" s="43">
        <v>2.5897876371743651</v>
      </c>
      <c r="O58" s="40">
        <v>0.91623074192921916</v>
      </c>
    </row>
    <row r="59" spans="1:15">
      <c r="A59" s="39">
        <v>1</v>
      </c>
      <c r="B59" s="39">
        <v>1955</v>
      </c>
      <c r="C59" s="39">
        <v>5</v>
      </c>
      <c r="D59" s="39">
        <v>60</v>
      </c>
      <c r="E59" s="39">
        <v>5</v>
      </c>
      <c r="F59" s="40">
        <v>2.5631621520727097E-2</v>
      </c>
      <c r="G59" s="40">
        <v>0.12077562879660637</v>
      </c>
      <c r="H59" s="41">
        <v>60441.975294823067</v>
      </c>
      <c r="I59" s="41">
        <v>7299.9175719412015</v>
      </c>
      <c r="J59" s="41">
        <v>284801.23920517869</v>
      </c>
      <c r="K59" s="40">
        <v>0.85047138715828863</v>
      </c>
      <c r="L59" s="41">
        <v>1154702.1448043091</v>
      </c>
      <c r="M59" s="42">
        <v>19.104308540081927</v>
      </c>
      <c r="N59" s="43">
        <v>2.6152282409529577</v>
      </c>
      <c r="O59" s="40">
        <v>0.87922437120339358</v>
      </c>
    </row>
    <row r="60" spans="1:15">
      <c r="A60" s="39">
        <v>1</v>
      </c>
      <c r="B60" s="39">
        <v>1955</v>
      </c>
      <c r="C60" s="39">
        <v>5</v>
      </c>
      <c r="D60" s="39">
        <v>65</v>
      </c>
      <c r="E60" s="39">
        <v>5</v>
      </c>
      <c r="F60" s="40">
        <v>3.9222800046535673E-2</v>
      </c>
      <c r="G60" s="40">
        <v>0.1787729508826767</v>
      </c>
      <c r="H60" s="41">
        <v>53142.057722881866</v>
      </c>
      <c r="I60" s="41">
        <v>9500.3624750971285</v>
      </c>
      <c r="J60" s="41">
        <v>242215.30497122789</v>
      </c>
      <c r="K60" s="40">
        <v>0.81366279065691294</v>
      </c>
      <c r="L60" s="41">
        <v>869900.90559913032</v>
      </c>
      <c r="M60" s="42">
        <v>16.369349303998987</v>
      </c>
      <c r="N60" s="43">
        <v>2.526938187383085</v>
      </c>
      <c r="O60" s="40">
        <v>0.82122704911732325</v>
      </c>
    </row>
    <row r="61" spans="1:15">
      <c r="A61" s="39">
        <v>1</v>
      </c>
      <c r="B61" s="39">
        <v>1955</v>
      </c>
      <c r="C61" s="39">
        <v>5</v>
      </c>
      <c r="D61" s="39">
        <v>70</v>
      </c>
      <c r="E61" s="39">
        <v>5</v>
      </c>
      <c r="F61" s="40">
        <v>4.3179165757729461E-2</v>
      </c>
      <c r="G61" s="40">
        <v>0.19499284353486571</v>
      </c>
      <c r="H61" s="41">
        <v>43641.695247784737</v>
      </c>
      <c r="I61" s="41">
        <v>8509.8182530475824</v>
      </c>
      <c r="J61" s="41">
        <v>197081.58098270453</v>
      </c>
      <c r="K61" s="40">
        <v>0.76382975379040263</v>
      </c>
      <c r="L61" s="41">
        <v>627685.60062790243</v>
      </c>
      <c r="M61" s="42">
        <v>14.382704362515888</v>
      </c>
      <c r="N61" s="43">
        <v>2.517350591047808</v>
      </c>
      <c r="O61" s="40">
        <v>0.80500715646513432</v>
      </c>
    </row>
    <row r="62" spans="1:15">
      <c r="A62" s="39">
        <v>1</v>
      </c>
      <c r="B62" s="39">
        <v>1955</v>
      </c>
      <c r="C62" s="39">
        <v>5</v>
      </c>
      <c r="D62" s="39">
        <v>75</v>
      </c>
      <c r="E62" s="39">
        <v>5</v>
      </c>
      <c r="F62" s="40">
        <v>6.5649678671030193E-2</v>
      </c>
      <c r="G62" s="40">
        <v>0.28130267391709096</v>
      </c>
      <c r="H62" s="41">
        <v>35131.876994737155</v>
      </c>
      <c r="I62" s="41">
        <v>9882.6909383458951</v>
      </c>
      <c r="J62" s="41">
        <v>150536.77547864249</v>
      </c>
      <c r="K62" s="40">
        <v>0.71201534136899658</v>
      </c>
      <c r="L62" s="41">
        <v>430604.01964519796</v>
      </c>
      <c r="M62" s="42">
        <v>12.256789459603981</v>
      </c>
      <c r="N62" s="43">
        <v>2.4579181265737167</v>
      </c>
      <c r="O62" s="40">
        <v>0.71869732608290904</v>
      </c>
    </row>
    <row r="63" spans="1:15">
      <c r="A63" s="39">
        <v>1</v>
      </c>
      <c r="B63" s="39">
        <v>1955</v>
      </c>
      <c r="C63" s="39">
        <v>5</v>
      </c>
      <c r="D63" s="39">
        <v>80</v>
      </c>
      <c r="E63" s="39">
        <v>5</v>
      </c>
      <c r="F63" s="40">
        <v>6.8024089449748887E-2</v>
      </c>
      <c r="G63" s="40">
        <v>0.28876683639215062</v>
      </c>
      <c r="H63" s="41">
        <v>25249.18605639126</v>
      </c>
      <c r="I63" s="41">
        <v>7291.1275789809042</v>
      </c>
      <c r="J63" s="41">
        <v>107184.49358101362</v>
      </c>
      <c r="K63" s="40">
        <v>0.70161642425547077</v>
      </c>
      <c r="L63" s="41">
        <v>280067.24416655547</v>
      </c>
      <c r="M63" s="42">
        <v>11.092129605328912</v>
      </c>
      <c r="N63" s="43">
        <v>2.3856668266382286</v>
      </c>
      <c r="O63" s="40">
        <v>0.71123316360784938</v>
      </c>
    </row>
    <row r="64" spans="1:15">
      <c r="A64" s="39">
        <v>1</v>
      </c>
      <c r="B64" s="39">
        <v>1955</v>
      </c>
      <c r="C64" s="39">
        <v>5</v>
      </c>
      <c r="D64" s="39">
        <v>85</v>
      </c>
      <c r="E64" s="39">
        <v>5</v>
      </c>
      <c r="F64" s="40">
        <v>7.4871579195536359E-2</v>
      </c>
      <c r="G64" s="40">
        <v>0.31353737590167879</v>
      </c>
      <c r="H64" s="41">
        <v>17958.058477410355</v>
      </c>
      <c r="I64" s="41">
        <v>5630.5225312961393</v>
      </c>
      <c r="J64" s="41">
        <v>75202.401121944233</v>
      </c>
      <c r="K64" s="40">
        <v>0.66112295382983133</v>
      </c>
      <c r="L64" s="41">
        <v>172882.75058554183</v>
      </c>
      <c r="M64" s="42">
        <v>9.6270290467654398</v>
      </c>
      <c r="N64" s="43">
        <v>2.4091407708567636</v>
      </c>
      <c r="O64" s="40">
        <v>0.68646262409832115</v>
      </c>
    </row>
    <row r="65" spans="1:15">
      <c r="A65" s="39">
        <v>1</v>
      </c>
      <c r="B65" s="39">
        <v>1955</v>
      </c>
      <c r="C65" s="39">
        <v>5</v>
      </c>
      <c r="D65" s="39">
        <v>90</v>
      </c>
      <c r="E65" s="39">
        <v>5</v>
      </c>
      <c r="F65" s="40">
        <v>9.2986413503794912E-2</v>
      </c>
      <c r="G65" s="40">
        <v>0.37502236033735625</v>
      </c>
      <c r="H65" s="41">
        <v>12327.535946114216</v>
      </c>
      <c r="I65" s="41">
        <v>4623.1016276553582</v>
      </c>
      <c r="J65" s="41">
        <v>49718.03356483559</v>
      </c>
      <c r="K65" s="40">
        <v>0.57841515452144354</v>
      </c>
      <c r="L65" s="41">
        <v>97680.349463597609</v>
      </c>
      <c r="M65" s="42">
        <v>7.9237529617090754</v>
      </c>
      <c r="N65" s="43">
        <v>2.421720929855347</v>
      </c>
      <c r="O65" s="40">
        <v>0.62497763966264375</v>
      </c>
    </row>
    <row r="66" spans="1:15">
      <c r="A66" s="39">
        <v>1</v>
      </c>
      <c r="B66" s="39">
        <v>1955</v>
      </c>
      <c r="C66" s="39">
        <v>5</v>
      </c>
      <c r="D66" s="39">
        <v>95</v>
      </c>
      <c r="E66" s="39">
        <v>5</v>
      </c>
      <c r="F66" s="40">
        <v>0.13030775083073029</v>
      </c>
      <c r="G66" s="40">
        <v>0.48638827573961546</v>
      </c>
      <c r="H66" s="41">
        <v>7704.4343184588579</v>
      </c>
      <c r="I66" s="41">
        <v>3747.3465237043233</v>
      </c>
      <c r="J66" s="41">
        <v>28757.664066906695</v>
      </c>
      <c r="K66" s="40">
        <v>0.40041127022290068</v>
      </c>
      <c r="L66" s="41">
        <v>47962.315898762019</v>
      </c>
      <c r="M66" s="42">
        <v>6.2252871419580185</v>
      </c>
      <c r="N66" s="43">
        <v>2.3942875408983544</v>
      </c>
      <c r="O66" s="40">
        <v>0.51361172426038459</v>
      </c>
    </row>
    <row r="67" spans="1:15">
      <c r="A67" s="39">
        <v>1</v>
      </c>
      <c r="B67" s="39">
        <v>1955</v>
      </c>
      <c r="C67" s="39">
        <v>5</v>
      </c>
      <c r="D67" s="39">
        <v>100</v>
      </c>
      <c r="E67" s="39">
        <v>0</v>
      </c>
      <c r="F67" s="40">
        <v>0.20604840063753699</v>
      </c>
      <c r="G67" s="40">
        <v>1</v>
      </c>
      <c r="H67" s="41">
        <v>3957.0877947545346</v>
      </c>
      <c r="I67" s="41">
        <v>3957.0877947545346</v>
      </c>
      <c r="J67" s="41">
        <v>19204.651831855324</v>
      </c>
      <c r="K67" s="40">
        <v>0</v>
      </c>
      <c r="L67" s="41">
        <v>19204.651831855324</v>
      </c>
      <c r="M67" s="42">
        <v>4.8532286438811818</v>
      </c>
      <c r="N67" s="43">
        <v>4.8532286438811818</v>
      </c>
      <c r="O67" s="40">
        <v>0</v>
      </c>
    </row>
    <row r="68" spans="1:15">
      <c r="A68" s="44">
        <v>2</v>
      </c>
      <c r="B68" s="44">
        <v>1955</v>
      </c>
      <c r="C68" s="44">
        <v>5</v>
      </c>
      <c r="D68" s="44">
        <v>0</v>
      </c>
      <c r="E68" s="44">
        <v>1</v>
      </c>
      <c r="F68" s="45">
        <v>0.13364233919540461</v>
      </c>
      <c r="G68" s="45">
        <v>0.12296102025088636</v>
      </c>
      <c r="H68" s="46">
        <v>100000</v>
      </c>
      <c r="I68" s="46">
        <v>12296.102025088636</v>
      </c>
      <c r="J68" s="46">
        <v>92007.533683692382</v>
      </c>
      <c r="K68" s="45">
        <v>0.87076548639097662</v>
      </c>
      <c r="L68" s="46">
        <v>6390308.8073466066</v>
      </c>
      <c r="M68" s="47">
        <v>63.903088073466066</v>
      </c>
      <c r="N68" s="48">
        <v>0.35</v>
      </c>
      <c r="O68" s="45">
        <v>0.8770389797491136</v>
      </c>
    </row>
    <row r="69" spans="1:15">
      <c r="A69" s="44">
        <v>2</v>
      </c>
      <c r="B69" s="44">
        <v>1955</v>
      </c>
      <c r="C69" s="44">
        <v>5</v>
      </c>
      <c r="D69" s="44">
        <v>1</v>
      </c>
      <c r="E69" s="44">
        <v>4</v>
      </c>
      <c r="F69" s="45">
        <v>8.2108275043451147E-3</v>
      </c>
      <c r="G69" s="45">
        <v>3.2146742387393429E-2</v>
      </c>
      <c r="H69" s="46">
        <v>87703.897974911364</v>
      </c>
      <c r="I69" s="46">
        <v>2819.3946145697118</v>
      </c>
      <c r="J69" s="46">
        <v>343375.20951179601</v>
      </c>
      <c r="K69" s="45">
        <v>0.97279499387063051</v>
      </c>
      <c r="L69" s="46">
        <v>6298301.2736629145</v>
      </c>
      <c r="M69" s="47">
        <v>71.813242274187303</v>
      </c>
      <c r="N69" s="48">
        <v>1.361</v>
      </c>
      <c r="O69" s="45">
        <v>0.96785325761260654</v>
      </c>
    </row>
    <row r="70" spans="1:15">
      <c r="A70" s="44">
        <v>2</v>
      </c>
      <c r="B70" s="44">
        <v>1955</v>
      </c>
      <c r="C70" s="44">
        <v>5</v>
      </c>
      <c r="D70" s="44">
        <v>5</v>
      </c>
      <c r="E70" s="44">
        <v>5</v>
      </c>
      <c r="F70" s="45">
        <v>8.3521524303244654E-4</v>
      </c>
      <c r="G70" s="45">
        <v>4.1673745782343143E-3</v>
      </c>
      <c r="H70" s="46">
        <v>84884.503360341652</v>
      </c>
      <c r="I70" s="46">
        <v>353.74552138993749</v>
      </c>
      <c r="J70" s="46">
        <v>423538.15299823345</v>
      </c>
      <c r="K70" s="45">
        <v>0.99636058116671367</v>
      </c>
      <c r="L70" s="46">
        <v>5954926.0641511185</v>
      </c>
      <c r="M70" s="47">
        <v>70.1532768457391</v>
      </c>
      <c r="N70" s="48">
        <v>2.5</v>
      </c>
      <c r="O70" s="45">
        <v>0.99583262542176565</v>
      </c>
    </row>
    <row r="71" spans="1:15">
      <c r="A71" s="44">
        <v>2</v>
      </c>
      <c r="B71" s="44">
        <v>1955</v>
      </c>
      <c r="C71" s="44">
        <v>5</v>
      </c>
      <c r="D71" s="44">
        <v>10</v>
      </c>
      <c r="E71" s="44">
        <v>5</v>
      </c>
      <c r="F71" s="45">
        <v>6.2281898944194529E-4</v>
      </c>
      <c r="G71" s="45">
        <v>3.1092536916044172E-3</v>
      </c>
      <c r="H71" s="46">
        <v>84530.757838951715</v>
      </c>
      <c r="I71" s="46">
        <v>262.82757086488709</v>
      </c>
      <c r="J71" s="46">
        <v>421996.72026759636</v>
      </c>
      <c r="K71" s="45">
        <v>0.99614328439702093</v>
      </c>
      <c r="L71" s="46">
        <v>5531387.9111528853</v>
      </c>
      <c r="M71" s="47">
        <v>65.436393243880573</v>
      </c>
      <c r="N71" s="48">
        <v>2.5</v>
      </c>
      <c r="O71" s="45">
        <v>0.99689074630839558</v>
      </c>
    </row>
    <row r="72" spans="1:15">
      <c r="A72" s="44">
        <v>2</v>
      </c>
      <c r="B72" s="44">
        <v>1955</v>
      </c>
      <c r="C72" s="44">
        <v>5</v>
      </c>
      <c r="D72" s="44">
        <v>15</v>
      </c>
      <c r="E72" s="44">
        <v>5</v>
      </c>
      <c r="F72" s="45">
        <v>9.7750142519085017E-4</v>
      </c>
      <c r="G72" s="45">
        <v>4.8762499536328819E-3</v>
      </c>
      <c r="H72" s="46">
        <v>84267.930268086828</v>
      </c>
      <c r="I72" s="46">
        <v>410.91149106249213</v>
      </c>
      <c r="J72" s="46">
        <v>420369.19893213431</v>
      </c>
      <c r="K72" s="45">
        <v>0.99450972532383319</v>
      </c>
      <c r="L72" s="46">
        <v>5109391.1908852886</v>
      </c>
      <c r="M72" s="47">
        <v>60.632688789560433</v>
      </c>
      <c r="N72" s="48">
        <v>2.6382933322441149</v>
      </c>
      <c r="O72" s="45">
        <v>0.99512375004636711</v>
      </c>
    </row>
    <row r="73" spans="1:15">
      <c r="A73" s="44">
        <v>2</v>
      </c>
      <c r="B73" s="44">
        <v>1955</v>
      </c>
      <c r="C73" s="44">
        <v>5</v>
      </c>
      <c r="D73" s="44">
        <v>20</v>
      </c>
      <c r="E73" s="44">
        <v>5</v>
      </c>
      <c r="F73" s="45">
        <v>1.221504944952663E-3</v>
      </c>
      <c r="G73" s="45">
        <v>6.0896976739017294E-3</v>
      </c>
      <c r="H73" s="46">
        <v>83857.018777024336</v>
      </c>
      <c r="I73" s="46">
        <v>510.66389218677068</v>
      </c>
      <c r="J73" s="46">
        <v>418061.25656459667</v>
      </c>
      <c r="K73" s="45">
        <v>0.99297480806410354</v>
      </c>
      <c r="L73" s="46">
        <v>4689021.9919531541</v>
      </c>
      <c r="M73" s="47">
        <v>55.916869694846355</v>
      </c>
      <c r="N73" s="48">
        <v>2.6034387015610982</v>
      </c>
      <c r="O73" s="45">
        <v>0.99391030232609823</v>
      </c>
    </row>
    <row r="74" spans="1:15">
      <c r="A74" s="44">
        <v>2</v>
      </c>
      <c r="B74" s="44">
        <v>1955</v>
      </c>
      <c r="C74" s="44">
        <v>5</v>
      </c>
      <c r="D74" s="44">
        <v>25</v>
      </c>
      <c r="E74" s="44">
        <v>5</v>
      </c>
      <c r="F74" s="45">
        <v>1.6257435621203757E-3</v>
      </c>
      <c r="G74" s="45">
        <v>8.0973625376682453E-3</v>
      </c>
      <c r="H74" s="46">
        <v>83346.354884837565</v>
      </c>
      <c r="I74" s="46">
        <v>674.88565169570211</v>
      </c>
      <c r="J74" s="46">
        <v>415124.29599626834</v>
      </c>
      <c r="K74" s="45">
        <v>0.99064045474835982</v>
      </c>
      <c r="L74" s="46">
        <v>4270960.7353885574</v>
      </c>
      <c r="M74" s="47">
        <v>51.243521582796106</v>
      </c>
      <c r="N74" s="48">
        <v>2.6181469795948624</v>
      </c>
      <c r="O74" s="45">
        <v>0.99190263746233176</v>
      </c>
    </row>
    <row r="75" spans="1:15">
      <c r="A75" s="44">
        <v>2</v>
      </c>
      <c r="B75" s="44">
        <v>1955</v>
      </c>
      <c r="C75" s="44">
        <v>5</v>
      </c>
      <c r="D75" s="44">
        <v>30</v>
      </c>
      <c r="E75" s="44">
        <v>5</v>
      </c>
      <c r="F75" s="45">
        <v>2.189003894466053E-3</v>
      </c>
      <c r="G75" s="45">
        <v>1.0888927084150422E-2</v>
      </c>
      <c r="H75" s="46">
        <v>82671.469233141863</v>
      </c>
      <c r="I75" s="46">
        <v>900.20360041926324</v>
      </c>
      <c r="J75" s="46">
        <v>411238.92136283597</v>
      </c>
      <c r="K75" s="45">
        <v>0.98638983921574697</v>
      </c>
      <c r="L75" s="46">
        <v>3855836.4393922887</v>
      </c>
      <c r="M75" s="47">
        <v>46.640473130076373</v>
      </c>
      <c r="N75" s="48">
        <v>2.6467270272117021</v>
      </c>
      <c r="O75" s="45">
        <v>0.98911107291584954</v>
      </c>
    </row>
    <row r="76" spans="1:15">
      <c r="A76" s="44">
        <v>2</v>
      </c>
      <c r="B76" s="44">
        <v>1955</v>
      </c>
      <c r="C76" s="44">
        <v>5</v>
      </c>
      <c r="D76" s="44">
        <v>35</v>
      </c>
      <c r="E76" s="44">
        <v>5</v>
      </c>
      <c r="F76" s="45">
        <v>3.3606857902028072E-3</v>
      </c>
      <c r="G76" s="45">
        <v>1.6671320138231735E-2</v>
      </c>
      <c r="H76" s="46">
        <v>81771.2656327226</v>
      </c>
      <c r="I76" s="46">
        <v>1363.2349474715011</v>
      </c>
      <c r="J76" s="46">
        <v>405641.893522345</v>
      </c>
      <c r="K76" s="45">
        <v>0.98048732388087434</v>
      </c>
      <c r="L76" s="46">
        <v>3444597.5180294528</v>
      </c>
      <c r="M76" s="47">
        <v>42.12479153130559</v>
      </c>
      <c r="N76" s="48">
        <v>2.642053816746659</v>
      </c>
      <c r="O76" s="45">
        <v>0.98332867986176831</v>
      </c>
    </row>
    <row r="77" spans="1:15">
      <c r="A77" s="44">
        <v>2</v>
      </c>
      <c r="B77" s="44">
        <v>1955</v>
      </c>
      <c r="C77" s="44">
        <v>5</v>
      </c>
      <c r="D77" s="44">
        <v>40</v>
      </c>
      <c r="E77" s="44">
        <v>5</v>
      </c>
      <c r="F77" s="45">
        <v>4.4768146411453521E-3</v>
      </c>
      <c r="G77" s="45">
        <v>2.2143918382391811E-2</v>
      </c>
      <c r="H77" s="46">
        <v>80408.030685251098</v>
      </c>
      <c r="I77" s="46">
        <v>1780.5488687830657</v>
      </c>
      <c r="J77" s="46">
        <v>397726.73463369464</v>
      </c>
      <c r="K77" s="45">
        <v>0.97660232731350494</v>
      </c>
      <c r="L77" s="46">
        <v>3038955.6245071078</v>
      </c>
      <c r="M77" s="47">
        <v>37.794180489294469</v>
      </c>
      <c r="N77" s="48">
        <v>2.5774780079420769</v>
      </c>
      <c r="O77" s="45">
        <v>0.97785608161760817</v>
      </c>
    </row>
    <row r="78" spans="1:15">
      <c r="A78" s="44">
        <v>2</v>
      </c>
      <c r="B78" s="44">
        <v>1955</v>
      </c>
      <c r="C78" s="44">
        <v>5</v>
      </c>
      <c r="D78" s="44">
        <v>45</v>
      </c>
      <c r="E78" s="44">
        <v>5</v>
      </c>
      <c r="F78" s="45">
        <v>5.0977926989145056E-3</v>
      </c>
      <c r="G78" s="45">
        <v>2.5183166894571264E-2</v>
      </c>
      <c r="H78" s="46">
        <v>78627.481816468033</v>
      </c>
      <c r="I78" s="46">
        <v>1980.088997083978</v>
      </c>
      <c r="J78" s="46">
        <v>388420.85467806697</v>
      </c>
      <c r="K78" s="45">
        <v>0.96762389991898157</v>
      </c>
      <c r="L78" s="46">
        <v>2641228.8898734129</v>
      </c>
      <c r="M78" s="47">
        <v>33.591675949111014</v>
      </c>
      <c r="N78" s="48">
        <v>2.6180088818133251</v>
      </c>
      <c r="O78" s="45">
        <v>0.97481683310542877</v>
      </c>
    </row>
    <row r="79" spans="1:15">
      <c r="A79" s="44">
        <v>2</v>
      </c>
      <c r="B79" s="44">
        <v>1955</v>
      </c>
      <c r="C79" s="44">
        <v>5</v>
      </c>
      <c r="D79" s="44">
        <v>50</v>
      </c>
      <c r="E79" s="44">
        <v>5</v>
      </c>
      <c r="F79" s="45">
        <v>8.3006376373230602E-3</v>
      </c>
      <c r="G79" s="45">
        <v>4.0702697725356715E-2</v>
      </c>
      <c r="H79" s="46">
        <v>76647.392819384055</v>
      </c>
      <c r="I79" s="46">
        <v>3119.7556613640627</v>
      </c>
      <c r="J79" s="46">
        <v>375845.30221345514</v>
      </c>
      <c r="K79" s="45">
        <v>0.95463374510701016</v>
      </c>
      <c r="L79" s="46">
        <v>2252808.035195346</v>
      </c>
      <c r="M79" s="47">
        <v>29.391841683434443</v>
      </c>
      <c r="N79" s="48">
        <v>2.6306920522637212</v>
      </c>
      <c r="O79" s="45">
        <v>0.95929730227464327</v>
      </c>
    </row>
    <row r="80" spans="1:15">
      <c r="A80" s="44">
        <v>2</v>
      </c>
      <c r="B80" s="44">
        <v>1955</v>
      </c>
      <c r="C80" s="44">
        <v>5</v>
      </c>
      <c r="D80" s="44">
        <v>55</v>
      </c>
      <c r="E80" s="44">
        <v>5</v>
      </c>
      <c r="F80" s="45">
        <v>1.0372269690771685E-2</v>
      </c>
      <c r="G80" s="45">
        <v>5.0613817961577337E-2</v>
      </c>
      <c r="H80" s="46">
        <v>73527.637158019992</v>
      </c>
      <c r="I80" s="46">
        <v>3721.5144422609301</v>
      </c>
      <c r="J80" s="46">
        <v>358794.60843290674</v>
      </c>
      <c r="K80" s="45">
        <v>0.93633871759815579</v>
      </c>
      <c r="L80" s="46">
        <v>1876962.7329818909</v>
      </c>
      <c r="M80" s="47">
        <v>25.527309261251869</v>
      </c>
      <c r="N80" s="48">
        <v>2.6236616854775741</v>
      </c>
      <c r="O80" s="45">
        <v>0.94938618203842262</v>
      </c>
    </row>
    <row r="81" spans="1:15">
      <c r="A81" s="44">
        <v>2</v>
      </c>
      <c r="B81" s="44">
        <v>1955</v>
      </c>
      <c r="C81" s="44">
        <v>5</v>
      </c>
      <c r="D81" s="44">
        <v>60</v>
      </c>
      <c r="E81" s="44">
        <v>5</v>
      </c>
      <c r="F81" s="45">
        <v>1.6670340505947619E-2</v>
      </c>
      <c r="G81" s="45">
        <v>8.0228716520000173E-2</v>
      </c>
      <c r="H81" s="46">
        <v>69806.122715759062</v>
      </c>
      <c r="I81" s="46">
        <v>5600.4556307229868</v>
      </c>
      <c r="J81" s="46">
        <v>335953.28354120033</v>
      </c>
      <c r="K81" s="45">
        <v>0.89707658106086341</v>
      </c>
      <c r="L81" s="46">
        <v>1518168.1245489842</v>
      </c>
      <c r="M81" s="47">
        <v>21.748351942289592</v>
      </c>
      <c r="N81" s="48">
        <v>2.6649524788920167</v>
      </c>
      <c r="O81" s="45">
        <v>0.91977128347999981</v>
      </c>
    </row>
    <row r="82" spans="1:15">
      <c r="A82" s="44">
        <v>2</v>
      </c>
      <c r="B82" s="44">
        <v>1955</v>
      </c>
      <c r="C82" s="44">
        <v>5</v>
      </c>
      <c r="D82" s="44">
        <v>65</v>
      </c>
      <c r="E82" s="44">
        <v>5</v>
      </c>
      <c r="F82" s="45">
        <v>2.7047948811270015E-2</v>
      </c>
      <c r="G82" s="45">
        <v>0.12696072174649783</v>
      </c>
      <c r="H82" s="46">
        <v>64205.667085036075</v>
      </c>
      <c r="I82" s="46">
        <v>8151.5978333315361</v>
      </c>
      <c r="J82" s="46">
        <v>301375.82299531082</v>
      </c>
      <c r="K82" s="45">
        <v>0.86082841015356004</v>
      </c>
      <c r="L82" s="46">
        <v>1182214.841007784</v>
      </c>
      <c r="M82" s="47">
        <v>18.412936033232398</v>
      </c>
      <c r="N82" s="48">
        <v>2.589121441993711</v>
      </c>
      <c r="O82" s="45">
        <v>0.87303927825350214</v>
      </c>
    </row>
    <row r="83" spans="1:15">
      <c r="A83" s="44">
        <v>2</v>
      </c>
      <c r="B83" s="44">
        <v>1955</v>
      </c>
      <c r="C83" s="44">
        <v>5</v>
      </c>
      <c r="D83" s="44">
        <v>70</v>
      </c>
      <c r="E83" s="44">
        <v>5</v>
      </c>
      <c r="F83" s="45">
        <v>3.3511663168005454E-2</v>
      </c>
      <c r="G83" s="45">
        <v>0.15510072844375392</v>
      </c>
      <c r="H83" s="46">
        <v>56054.069251704539</v>
      </c>
      <c r="I83" s="46">
        <v>8694.0269731759981</v>
      </c>
      <c r="J83" s="46">
        <v>259432.87056777414</v>
      </c>
      <c r="K83" s="45">
        <v>0.79008958958430531</v>
      </c>
      <c r="L83" s="46">
        <v>880839.01801247313</v>
      </c>
      <c r="M83" s="47">
        <v>15.714095867994237</v>
      </c>
      <c r="N83" s="48">
        <v>2.603242346148777</v>
      </c>
      <c r="O83" s="45">
        <v>0.84489927155624611</v>
      </c>
    </row>
    <row r="84" spans="1:15">
      <c r="A84" s="44">
        <v>2</v>
      </c>
      <c r="B84" s="44">
        <v>1955</v>
      </c>
      <c r="C84" s="44">
        <v>5</v>
      </c>
      <c r="D84" s="44">
        <v>75</v>
      </c>
      <c r="E84" s="44">
        <v>5</v>
      </c>
      <c r="F84" s="45">
        <v>6.2071755715622651E-2</v>
      </c>
      <c r="G84" s="45">
        <v>0.26864780023688289</v>
      </c>
      <c r="H84" s="46">
        <v>47360.042278528541</v>
      </c>
      <c r="I84" s="46">
        <v>12723.171177252465</v>
      </c>
      <c r="J84" s="46">
        <v>204975.21023157088</v>
      </c>
      <c r="K84" s="45">
        <v>0.72710421015820625</v>
      </c>
      <c r="L84" s="46">
        <v>621406.14744469896</v>
      </c>
      <c r="M84" s="47">
        <v>13.120895116396966</v>
      </c>
      <c r="N84" s="48">
        <v>2.4986581004293034</v>
      </c>
      <c r="O84" s="45">
        <v>0.73135219976311716</v>
      </c>
    </row>
    <row r="85" spans="1:15">
      <c r="A85" s="44">
        <v>2</v>
      </c>
      <c r="B85" s="44">
        <v>1955</v>
      </c>
      <c r="C85" s="44">
        <v>5</v>
      </c>
      <c r="D85" s="44">
        <v>80</v>
      </c>
      <c r="E85" s="44">
        <v>5</v>
      </c>
      <c r="F85" s="45">
        <v>6.194023519777777E-2</v>
      </c>
      <c r="G85" s="45">
        <v>0.26652146792112597</v>
      </c>
      <c r="H85" s="46">
        <v>34636.871101276076</v>
      </c>
      <c r="I85" s="46">
        <v>9231.4697301069245</v>
      </c>
      <c r="J85" s="46">
        <v>149038.33833743862</v>
      </c>
      <c r="K85" s="45">
        <v>0.72790660394089957</v>
      </c>
      <c r="L85" s="46">
        <v>416430.93721312808</v>
      </c>
      <c r="M85" s="47">
        <v>12.022764296333515</v>
      </c>
      <c r="N85" s="48">
        <v>2.3843799660422986</v>
      </c>
      <c r="O85" s="45">
        <v>0.73347853207887403</v>
      </c>
    </row>
    <row r="86" spans="1:15">
      <c r="A86" s="44">
        <v>2</v>
      </c>
      <c r="B86" s="44">
        <v>1955</v>
      </c>
      <c r="C86" s="44">
        <v>5</v>
      </c>
      <c r="D86" s="44">
        <v>85</v>
      </c>
      <c r="E86" s="44">
        <v>5</v>
      </c>
      <c r="F86" s="45">
        <v>6.6202435683243896E-2</v>
      </c>
      <c r="G86" s="45">
        <v>0.28269723898448651</v>
      </c>
      <c r="H86" s="46">
        <v>25405.401371169151</v>
      </c>
      <c r="I86" s="46">
        <v>7182.0368229222076</v>
      </c>
      <c r="J86" s="46">
        <v>108485.99071619973</v>
      </c>
      <c r="K86" s="45">
        <v>0.69559645702570327</v>
      </c>
      <c r="L86" s="46">
        <v>267392.59887568949</v>
      </c>
      <c r="M86" s="47">
        <v>10.525029499401455</v>
      </c>
      <c r="N86" s="48">
        <v>2.4184181177586725</v>
      </c>
      <c r="O86" s="45">
        <v>0.71730276101551349</v>
      </c>
    </row>
    <row r="87" spans="1:15">
      <c r="A87" s="44">
        <v>2</v>
      </c>
      <c r="B87" s="44">
        <v>1955</v>
      </c>
      <c r="C87" s="44">
        <v>5</v>
      </c>
      <c r="D87" s="44">
        <v>90</v>
      </c>
      <c r="E87" s="44">
        <v>5</v>
      </c>
      <c r="F87" s="45">
        <v>8.1174510987869722E-2</v>
      </c>
      <c r="G87" s="45">
        <v>0.33614150379382546</v>
      </c>
      <c r="H87" s="46">
        <v>18223.364548246944</v>
      </c>
      <c r="I87" s="46">
        <v>6125.6291634308145</v>
      </c>
      <c r="J87" s="46">
        <v>75462.470779111871</v>
      </c>
      <c r="K87" s="45">
        <v>0.61987286105334682</v>
      </c>
      <c r="L87" s="46">
        <v>158906.60815948976</v>
      </c>
      <c r="M87" s="47">
        <v>8.7199379532127228</v>
      </c>
      <c r="N87" s="48">
        <v>2.4444499422888288</v>
      </c>
      <c r="O87" s="45">
        <v>0.66385849620617454</v>
      </c>
    </row>
    <row r="88" spans="1:15">
      <c r="A88" s="44">
        <v>2</v>
      </c>
      <c r="B88" s="44">
        <v>1955</v>
      </c>
      <c r="C88" s="44">
        <v>5</v>
      </c>
      <c r="D88" s="44">
        <v>95</v>
      </c>
      <c r="E88" s="44">
        <v>5</v>
      </c>
      <c r="F88" s="45">
        <v>0.1141852452520465</v>
      </c>
      <c r="G88" s="45">
        <v>0.44150899043937591</v>
      </c>
      <c r="H88" s="46">
        <v>12097.735384816129</v>
      </c>
      <c r="I88" s="46">
        <v>5341.2589363528832</v>
      </c>
      <c r="J88" s="46">
        <v>46777.137664002657</v>
      </c>
      <c r="K88" s="45">
        <v>0.43941972279286307</v>
      </c>
      <c r="L88" s="46">
        <v>83444.137380377899</v>
      </c>
      <c r="M88" s="47">
        <v>6.8975006252086368</v>
      </c>
      <c r="N88" s="48">
        <v>2.4329012273199209</v>
      </c>
      <c r="O88" s="45">
        <v>0.55849100956062414</v>
      </c>
    </row>
    <row r="89" spans="1:15">
      <c r="A89" s="44">
        <v>2</v>
      </c>
      <c r="B89" s="44">
        <v>1955</v>
      </c>
      <c r="C89" s="44">
        <v>5</v>
      </c>
      <c r="D89" s="44">
        <v>100</v>
      </c>
      <c r="E89" s="44">
        <v>0</v>
      </c>
      <c r="F89" s="45">
        <v>0.18426586578464579</v>
      </c>
      <c r="G89" s="45">
        <v>1</v>
      </c>
      <c r="H89" s="46">
        <v>6756.476448463246</v>
      </c>
      <c r="I89" s="46">
        <v>6756.476448463246</v>
      </c>
      <c r="J89" s="46">
        <v>36666.999716375241</v>
      </c>
      <c r="K89" s="45">
        <v>0</v>
      </c>
      <c r="L89" s="46">
        <v>36666.999716375241</v>
      </c>
      <c r="M89" s="47">
        <v>5.426941098080067</v>
      </c>
      <c r="N89" s="48">
        <v>5.426941098080067</v>
      </c>
      <c r="O89" s="45">
        <v>0</v>
      </c>
    </row>
    <row r="90" spans="1:15">
      <c r="A90" s="39">
        <v>1</v>
      </c>
      <c r="B90" s="39">
        <v>1960</v>
      </c>
      <c r="C90" s="39">
        <v>5</v>
      </c>
      <c r="D90" s="39">
        <v>0</v>
      </c>
      <c r="E90" s="39">
        <v>1</v>
      </c>
      <c r="F90" s="40">
        <v>0.11832679291738896</v>
      </c>
      <c r="G90" s="40">
        <v>0.10963504178399409</v>
      </c>
      <c r="H90" s="41">
        <v>100000</v>
      </c>
      <c r="I90" s="41">
        <v>10963.504178399409</v>
      </c>
      <c r="J90" s="41">
        <v>92654.452200472399</v>
      </c>
      <c r="K90" s="40">
        <v>0.88752649796362904</v>
      </c>
      <c r="L90" s="41">
        <v>6116642.1343204649</v>
      </c>
      <c r="M90" s="42">
        <v>61.166421343204647</v>
      </c>
      <c r="N90" s="43">
        <v>0.33</v>
      </c>
      <c r="O90" s="40">
        <v>0.89036495821600592</v>
      </c>
    </row>
    <row r="91" spans="1:15">
      <c r="A91" s="39">
        <v>1</v>
      </c>
      <c r="B91" s="39">
        <v>1960</v>
      </c>
      <c r="C91" s="39">
        <v>5</v>
      </c>
      <c r="D91" s="39">
        <v>1</v>
      </c>
      <c r="E91" s="39">
        <v>4</v>
      </c>
      <c r="F91" s="40">
        <v>5.4178670035872328E-3</v>
      </c>
      <c r="G91" s="40">
        <v>2.136495542864076E-2</v>
      </c>
      <c r="H91" s="41">
        <v>89036.495821600591</v>
      </c>
      <c r="I91" s="41">
        <v>1902.2607647508557</v>
      </c>
      <c r="J91" s="41">
        <v>351108.79678134207</v>
      </c>
      <c r="K91" s="40">
        <v>0.97935153770839856</v>
      </c>
      <c r="L91" s="41">
        <v>6023987.6821199926</v>
      </c>
      <c r="M91" s="42">
        <v>67.657510850270356</v>
      </c>
      <c r="N91" s="43">
        <v>1.3520000000000001</v>
      </c>
      <c r="O91" s="40">
        <v>0.97863504457135919</v>
      </c>
    </row>
    <row r="92" spans="1:15">
      <c r="A92" s="39">
        <v>1</v>
      </c>
      <c r="B92" s="39">
        <v>1960</v>
      </c>
      <c r="C92" s="39">
        <v>5</v>
      </c>
      <c r="D92" s="39">
        <v>5</v>
      </c>
      <c r="E92" s="39">
        <v>5</v>
      </c>
      <c r="F92" s="40">
        <v>9.8569210551369482E-4</v>
      </c>
      <c r="G92" s="40">
        <v>4.916345520150499E-3</v>
      </c>
      <c r="H92" s="41">
        <v>87134.235056849735</v>
      </c>
      <c r="I92" s="41">
        <v>428.38200617348775</v>
      </c>
      <c r="J92" s="41">
        <v>434600.22026881494</v>
      </c>
      <c r="K92" s="40">
        <v>0.99536753043679493</v>
      </c>
      <c r="L92" s="41">
        <v>5672878.8853386501</v>
      </c>
      <c r="M92" s="42">
        <v>65.105051781741651</v>
      </c>
      <c r="N92" s="43">
        <v>2.5</v>
      </c>
      <c r="O92" s="40">
        <v>0.99508365447984948</v>
      </c>
    </row>
    <row r="93" spans="1:15">
      <c r="A93" s="39">
        <v>1</v>
      </c>
      <c r="B93" s="39">
        <v>1960</v>
      </c>
      <c r="C93" s="39">
        <v>5</v>
      </c>
      <c r="D93" s="39">
        <v>10</v>
      </c>
      <c r="E93" s="39">
        <v>5</v>
      </c>
      <c r="F93" s="40">
        <v>8.713321393835255E-4</v>
      </c>
      <c r="G93" s="40">
        <v>4.3471910786604317E-3</v>
      </c>
      <c r="H93" s="41">
        <v>86705.853050676247</v>
      </c>
      <c r="I93" s="41">
        <v>376.92691084953549</v>
      </c>
      <c r="J93" s="41">
        <v>432586.94797625742</v>
      </c>
      <c r="K93" s="40">
        <v>0.99480442613439235</v>
      </c>
      <c r="L93" s="41">
        <v>5238278.6650698353</v>
      </c>
      <c r="M93" s="42">
        <v>60.414360516218693</v>
      </c>
      <c r="N93" s="43">
        <v>2.5</v>
      </c>
      <c r="O93" s="40">
        <v>0.99565280892133956</v>
      </c>
    </row>
    <row r="94" spans="1:15">
      <c r="A94" s="39">
        <v>1</v>
      </c>
      <c r="B94" s="39">
        <v>1960</v>
      </c>
      <c r="C94" s="39">
        <v>5</v>
      </c>
      <c r="D94" s="39">
        <v>15</v>
      </c>
      <c r="E94" s="39">
        <v>5</v>
      </c>
      <c r="F94" s="40">
        <v>1.3031273311415968E-3</v>
      </c>
      <c r="G94" s="40">
        <v>6.4959344753911371E-3</v>
      </c>
      <c r="H94" s="41">
        <v>86328.926139826712</v>
      </c>
      <c r="I94" s="41">
        <v>560.7870475351956</v>
      </c>
      <c r="J94" s="41">
        <v>430339.41053474898</v>
      </c>
      <c r="K94" s="40">
        <v>0.99183395796030482</v>
      </c>
      <c r="L94" s="41">
        <v>4805691.7170935776</v>
      </c>
      <c r="M94" s="42">
        <v>55.667224555878441</v>
      </c>
      <c r="N94" s="43">
        <v>2.6725208434800081</v>
      </c>
      <c r="O94" s="40">
        <v>0.9935040655246089</v>
      </c>
    </row>
    <row r="95" spans="1:15">
      <c r="A95" s="39">
        <v>1</v>
      </c>
      <c r="B95" s="39">
        <v>1960</v>
      </c>
      <c r="C95" s="39">
        <v>5</v>
      </c>
      <c r="D95" s="39">
        <v>20</v>
      </c>
      <c r="E95" s="39">
        <v>5</v>
      </c>
      <c r="F95" s="40">
        <v>2.0206096610791801E-3</v>
      </c>
      <c r="G95" s="40">
        <v>1.0055566254727798E-2</v>
      </c>
      <c r="H95" s="41">
        <v>85768.139092291516</v>
      </c>
      <c r="I95" s="41">
        <v>862.44720518724353</v>
      </c>
      <c r="J95" s="41">
        <v>426825.24081698456</v>
      </c>
      <c r="K95" s="40">
        <v>0.98782547800609977</v>
      </c>
      <c r="L95" s="41">
        <v>4375352.3065588288</v>
      </c>
      <c r="M95" s="42">
        <v>51.013725526336707</v>
      </c>
      <c r="N95" s="43">
        <v>2.6630979469225169</v>
      </c>
      <c r="O95" s="40">
        <v>0.98994443374527219</v>
      </c>
    </row>
    <row r="96" spans="1:15">
      <c r="A96" s="39">
        <v>1</v>
      </c>
      <c r="B96" s="39">
        <v>1960</v>
      </c>
      <c r="C96" s="39">
        <v>5</v>
      </c>
      <c r="D96" s="39">
        <v>25</v>
      </c>
      <c r="E96" s="39">
        <v>5</v>
      </c>
      <c r="F96" s="40">
        <v>2.9090985504873698E-3</v>
      </c>
      <c r="G96" s="40">
        <v>1.4446144209494768E-2</v>
      </c>
      <c r="H96" s="41">
        <v>84905.691887104273</v>
      </c>
      <c r="I96" s="41">
        <v>1226.5598692080384</v>
      </c>
      <c r="J96" s="41">
        <v>421628.84753510641</v>
      </c>
      <c r="K96" s="40">
        <v>0.98296753895211619</v>
      </c>
      <c r="L96" s="41">
        <v>3948527.065741844</v>
      </c>
      <c r="M96" s="42">
        <v>46.504857071208413</v>
      </c>
      <c r="N96" s="43">
        <v>2.6359801317426372</v>
      </c>
      <c r="O96" s="40">
        <v>0.98555385579050525</v>
      </c>
    </row>
    <row r="97" spans="1:15">
      <c r="A97" s="39">
        <v>1</v>
      </c>
      <c r="B97" s="39">
        <v>1960</v>
      </c>
      <c r="C97" s="39">
        <v>5</v>
      </c>
      <c r="D97" s="39">
        <v>30</v>
      </c>
      <c r="E97" s="39">
        <v>5</v>
      </c>
      <c r="F97" s="40">
        <v>3.995604556928537E-3</v>
      </c>
      <c r="G97" s="40">
        <v>1.978950022849011E-2</v>
      </c>
      <c r="H97" s="41">
        <v>83679.132017896234</v>
      </c>
      <c r="I97" s="41">
        <v>1655.9682021880144</v>
      </c>
      <c r="J97" s="41">
        <v>414447.47061280056</v>
      </c>
      <c r="K97" s="40">
        <v>0.97723060713580701</v>
      </c>
      <c r="L97" s="41">
        <v>3526898.2182067377</v>
      </c>
      <c r="M97" s="42">
        <v>42.147882430860413</v>
      </c>
      <c r="N97" s="43">
        <v>2.615781829950643</v>
      </c>
      <c r="O97" s="40">
        <v>0.98021049977150987</v>
      </c>
    </row>
    <row r="98" spans="1:15">
      <c r="A98" s="39">
        <v>1</v>
      </c>
      <c r="B98" s="39">
        <v>1960</v>
      </c>
      <c r="C98" s="39">
        <v>5</v>
      </c>
      <c r="D98" s="39">
        <v>35</v>
      </c>
      <c r="E98" s="39">
        <v>5</v>
      </c>
      <c r="F98" s="40">
        <v>5.2780255876961309E-3</v>
      </c>
      <c r="G98" s="40">
        <v>2.6061627227471917E-2</v>
      </c>
      <c r="H98" s="41">
        <v>82023.16381570822</v>
      </c>
      <c r="I98" s="41">
        <v>2137.6571193828568</v>
      </c>
      <c r="J98" s="41">
        <v>405010.75333284662</v>
      </c>
      <c r="K98" s="40">
        <v>0.96932391238388704</v>
      </c>
      <c r="L98" s="41">
        <v>3112450.747593937</v>
      </c>
      <c r="M98" s="42">
        <v>37.9459972378909</v>
      </c>
      <c r="N98" s="43">
        <v>2.6118406925951159</v>
      </c>
      <c r="O98" s="40">
        <v>0.97393837277252804</v>
      </c>
    </row>
    <row r="99" spans="1:15">
      <c r="A99" s="39">
        <v>1</v>
      </c>
      <c r="B99" s="39">
        <v>1960</v>
      </c>
      <c r="C99" s="39">
        <v>5</v>
      </c>
      <c r="D99" s="39">
        <v>40</v>
      </c>
      <c r="E99" s="39">
        <v>5</v>
      </c>
      <c r="F99" s="40">
        <v>7.2052539594270023E-3</v>
      </c>
      <c r="G99" s="40">
        <v>3.5409254175546558E-2</v>
      </c>
      <c r="H99" s="41">
        <v>79885.506696325363</v>
      </c>
      <c r="I99" s="41">
        <v>2828.6862115525</v>
      </c>
      <c r="J99" s="41">
        <v>392586.6079781403</v>
      </c>
      <c r="K99" s="40">
        <v>0.9620838953938512</v>
      </c>
      <c r="L99" s="41">
        <v>2707439.9942610902</v>
      </c>
      <c r="M99" s="42">
        <v>33.891504306946196</v>
      </c>
      <c r="N99" s="43">
        <v>2.5815891223466796</v>
      </c>
      <c r="O99" s="40">
        <v>0.96459074582445348</v>
      </c>
    </row>
    <row r="100" spans="1:15">
      <c r="A100" s="39">
        <v>1</v>
      </c>
      <c r="B100" s="39">
        <v>1960</v>
      </c>
      <c r="C100" s="39">
        <v>5</v>
      </c>
      <c r="D100" s="39">
        <v>45</v>
      </c>
      <c r="E100" s="39">
        <v>5</v>
      </c>
      <c r="F100" s="40">
        <v>8.3916101320487824E-3</v>
      </c>
      <c r="G100" s="40">
        <v>4.1132266323987789E-2</v>
      </c>
      <c r="H100" s="41">
        <v>77056.820484772863</v>
      </c>
      <c r="I100" s="41">
        <v>3169.5216622594016</v>
      </c>
      <c r="J100" s="41">
        <v>377701.253083068</v>
      </c>
      <c r="K100" s="40">
        <v>0.94840383954890195</v>
      </c>
      <c r="L100" s="41">
        <v>2314853.3862829497</v>
      </c>
      <c r="M100" s="42">
        <v>30.040862985521002</v>
      </c>
      <c r="N100" s="43">
        <v>2.6075729561694048</v>
      </c>
      <c r="O100" s="40">
        <v>0.95886773367601219</v>
      </c>
    </row>
    <row r="101" spans="1:15">
      <c r="A101" s="39">
        <v>1</v>
      </c>
      <c r="B101" s="39">
        <v>1960</v>
      </c>
      <c r="C101" s="39">
        <v>5</v>
      </c>
      <c r="D101" s="39">
        <v>50</v>
      </c>
      <c r="E101" s="39">
        <v>5</v>
      </c>
      <c r="F101" s="40">
        <v>1.3132325254641973E-2</v>
      </c>
      <c r="G101" s="40">
        <v>6.3666880312498272E-2</v>
      </c>
      <c r="H101" s="41">
        <v>73887.298822513461</v>
      </c>
      <c r="I101" s="41">
        <v>4704.1738107467681</v>
      </c>
      <c r="J101" s="41">
        <v>358213.31862641324</v>
      </c>
      <c r="K101" s="40">
        <v>0.92866706316024972</v>
      </c>
      <c r="L101" s="41">
        <v>1937152.1331998818</v>
      </c>
      <c r="M101" s="42">
        <v>26.217660735617951</v>
      </c>
      <c r="N101" s="43">
        <v>2.6142090114709404</v>
      </c>
      <c r="O101" s="40">
        <v>0.93633311968750177</v>
      </c>
    </row>
    <row r="102" spans="1:15">
      <c r="A102" s="39">
        <v>1</v>
      </c>
      <c r="B102" s="39">
        <v>1960</v>
      </c>
      <c r="C102" s="39">
        <v>5</v>
      </c>
      <c r="D102" s="39">
        <v>55</v>
      </c>
      <c r="E102" s="39">
        <v>5</v>
      </c>
      <c r="F102" s="40">
        <v>1.6556171299842968E-2</v>
      </c>
      <c r="G102" s="40">
        <v>7.9608878893717872E-2</v>
      </c>
      <c r="H102" s="41">
        <v>69183.125011766693</v>
      </c>
      <c r="I102" s="41">
        <v>5507.5910205506807</v>
      </c>
      <c r="J102" s="41">
        <v>332660.91059367795</v>
      </c>
      <c r="K102" s="40">
        <v>0.90471426488950757</v>
      </c>
      <c r="L102" s="41">
        <v>1578938.8145734684</v>
      </c>
      <c r="M102" s="42">
        <v>22.822600371187654</v>
      </c>
      <c r="N102" s="43">
        <v>2.5933735065480126</v>
      </c>
      <c r="O102" s="40">
        <v>0.92039112110628207</v>
      </c>
    </row>
    <row r="103" spans="1:15">
      <c r="A103" s="39">
        <v>1</v>
      </c>
      <c r="B103" s="39">
        <v>1960</v>
      </c>
      <c r="C103" s="39">
        <v>5</v>
      </c>
      <c r="D103" s="39">
        <v>60</v>
      </c>
      <c r="E103" s="39">
        <v>5</v>
      </c>
      <c r="F103" s="40">
        <v>2.4260058426447535E-2</v>
      </c>
      <c r="G103" s="40">
        <v>0.11466541752384948</v>
      </c>
      <c r="H103" s="41">
        <v>63675.533991216013</v>
      </c>
      <c r="I103" s="41">
        <v>7301.3816911568501</v>
      </c>
      <c r="J103" s="41">
        <v>300963.07118523354</v>
      </c>
      <c r="K103" s="40">
        <v>0.85902897818156709</v>
      </c>
      <c r="L103" s="41">
        <v>1246277.9039797904</v>
      </c>
      <c r="M103" s="42">
        <v>19.572319631457091</v>
      </c>
      <c r="N103" s="43">
        <v>2.6148899609044651</v>
      </c>
      <c r="O103" s="40">
        <v>0.88533458247615049</v>
      </c>
    </row>
    <row r="104" spans="1:15">
      <c r="A104" s="39">
        <v>1</v>
      </c>
      <c r="B104" s="39">
        <v>1960</v>
      </c>
      <c r="C104" s="39">
        <v>5</v>
      </c>
      <c r="D104" s="39">
        <v>65</v>
      </c>
      <c r="E104" s="39">
        <v>5</v>
      </c>
      <c r="F104" s="40">
        <v>3.6628671832761681E-2</v>
      </c>
      <c r="G104" s="40">
        <v>0.1679817770496255</v>
      </c>
      <c r="H104" s="41">
        <v>56374.152300059162</v>
      </c>
      <c r="I104" s="41">
        <v>9469.8302830301691</v>
      </c>
      <c r="J104" s="41">
        <v>258535.9995106374</v>
      </c>
      <c r="K104" s="40">
        <v>0.82244997241528439</v>
      </c>
      <c r="L104" s="41">
        <v>945314.83279455698</v>
      </c>
      <c r="M104" s="42">
        <v>16.768586208853112</v>
      </c>
      <c r="N104" s="43">
        <v>2.5358838234435885</v>
      </c>
      <c r="O104" s="40">
        <v>0.83201822295037453</v>
      </c>
    </row>
    <row r="105" spans="1:15">
      <c r="A105" s="39">
        <v>1</v>
      </c>
      <c r="B105" s="39">
        <v>1960</v>
      </c>
      <c r="C105" s="39">
        <v>5</v>
      </c>
      <c r="D105" s="39">
        <v>70</v>
      </c>
      <c r="E105" s="39">
        <v>5</v>
      </c>
      <c r="F105" s="40">
        <v>4.1569236343259666E-2</v>
      </c>
      <c r="G105" s="40">
        <v>0.18844720403707649</v>
      </c>
      <c r="H105" s="41">
        <v>46904.322017028993</v>
      </c>
      <c r="I105" s="41">
        <v>8838.9883413638017</v>
      </c>
      <c r="J105" s="41">
        <v>212632.92566588172</v>
      </c>
      <c r="K105" s="40">
        <v>0.77333152380007475</v>
      </c>
      <c r="L105" s="41">
        <v>686778.83328391961</v>
      </c>
      <c r="M105" s="42">
        <v>14.642122596603762</v>
      </c>
      <c r="N105" s="43">
        <v>2.5236210781237478</v>
      </c>
      <c r="O105" s="40">
        <v>0.81155279596292351</v>
      </c>
    </row>
    <row r="106" spans="1:15">
      <c r="A106" s="39">
        <v>1</v>
      </c>
      <c r="B106" s="39">
        <v>1960</v>
      </c>
      <c r="C106" s="39">
        <v>5</v>
      </c>
      <c r="D106" s="39">
        <v>75</v>
      </c>
      <c r="E106" s="39">
        <v>5</v>
      </c>
      <c r="F106" s="40">
        <v>6.2172007332405681E-2</v>
      </c>
      <c r="G106" s="40">
        <v>0.26857246003943641</v>
      </c>
      <c r="H106" s="41">
        <v>38065.333675665192</v>
      </c>
      <c r="I106" s="41">
        <v>10223.300307495403</v>
      </c>
      <c r="J106" s="41">
        <v>164435.74441526434</v>
      </c>
      <c r="K106" s="40">
        <v>0.72225888007260464</v>
      </c>
      <c r="L106" s="41">
        <v>474145.90761803795</v>
      </c>
      <c r="M106" s="42">
        <v>12.456108007826421</v>
      </c>
      <c r="N106" s="43">
        <v>2.4674593150629454</v>
      </c>
      <c r="O106" s="40">
        <v>0.73142753996056364</v>
      </c>
    </row>
    <row r="107" spans="1:15">
      <c r="A107" s="39">
        <v>1</v>
      </c>
      <c r="B107" s="39">
        <v>1960</v>
      </c>
      <c r="C107" s="39">
        <v>5</v>
      </c>
      <c r="D107" s="39">
        <v>80</v>
      </c>
      <c r="E107" s="39">
        <v>5</v>
      </c>
      <c r="F107" s="40">
        <v>6.621355288447385E-2</v>
      </c>
      <c r="G107" s="40">
        <v>0.28244576098301383</v>
      </c>
      <c r="H107" s="41">
        <v>27842.033368169788</v>
      </c>
      <c r="I107" s="41">
        <v>7863.8643019871815</v>
      </c>
      <c r="J107" s="41">
        <v>118765.17660527388</v>
      </c>
      <c r="K107" s="40">
        <v>0.7051795691826992</v>
      </c>
      <c r="L107" s="41">
        <v>309710.16320277361</v>
      </c>
      <c r="M107" s="42">
        <v>11.123834208059229</v>
      </c>
      <c r="N107" s="43">
        <v>2.400134405878716</v>
      </c>
      <c r="O107" s="40">
        <v>0.71755423901698623</v>
      </c>
    </row>
    <row r="108" spans="1:15">
      <c r="A108" s="39">
        <v>1</v>
      </c>
      <c r="B108" s="39">
        <v>1960</v>
      </c>
      <c r="C108" s="39">
        <v>5</v>
      </c>
      <c r="D108" s="39">
        <v>85</v>
      </c>
      <c r="E108" s="39">
        <v>5</v>
      </c>
      <c r="F108" s="40">
        <v>7.4640669977734289E-2</v>
      </c>
      <c r="G108" s="40">
        <v>0.31290224927477134</v>
      </c>
      <c r="H108" s="41">
        <v>19978.169066182607</v>
      </c>
      <c r="I108" s="41">
        <v>6251.2140372001941</v>
      </c>
      <c r="J108" s="41">
        <v>83750.776072414228</v>
      </c>
      <c r="K108" s="40">
        <v>0.65941935103100224</v>
      </c>
      <c r="L108" s="41">
        <v>190944.98659749972</v>
      </c>
      <c r="M108" s="42">
        <v>9.5576819860192099</v>
      </c>
      <c r="N108" s="43">
        <v>2.4180904441199309</v>
      </c>
      <c r="O108" s="40">
        <v>0.68709775072522872</v>
      </c>
    </row>
    <row r="109" spans="1:15">
      <c r="A109" s="39">
        <v>1</v>
      </c>
      <c r="B109" s="39">
        <v>1960</v>
      </c>
      <c r="C109" s="39">
        <v>5</v>
      </c>
      <c r="D109" s="39">
        <v>90</v>
      </c>
      <c r="E109" s="39">
        <v>5</v>
      </c>
      <c r="F109" s="40">
        <v>9.4266511554732382E-2</v>
      </c>
      <c r="G109" s="40">
        <v>0.37925712858143673</v>
      </c>
      <c r="H109" s="41">
        <v>13726.955028982413</v>
      </c>
      <c r="I109" s="41">
        <v>5206.0455484583817</v>
      </c>
      <c r="J109" s="41">
        <v>55226.882406014185</v>
      </c>
      <c r="K109" s="40">
        <v>0.57226036704376948</v>
      </c>
      <c r="L109" s="41">
        <v>107194.21052508549</v>
      </c>
      <c r="M109" s="42">
        <v>7.809030502304477</v>
      </c>
      <c r="N109" s="43">
        <v>2.4245533170818616</v>
      </c>
      <c r="O109" s="40">
        <v>0.62074287141856321</v>
      </c>
    </row>
    <row r="110" spans="1:15">
      <c r="A110" s="39">
        <v>1</v>
      </c>
      <c r="B110" s="39">
        <v>1960</v>
      </c>
      <c r="C110" s="39">
        <v>5</v>
      </c>
      <c r="D110" s="39">
        <v>95</v>
      </c>
      <c r="E110" s="39">
        <v>5</v>
      </c>
      <c r="F110" s="40">
        <v>0.13338058326624588</v>
      </c>
      <c r="G110" s="40">
        <v>0.49471019144909145</v>
      </c>
      <c r="H110" s="41">
        <v>8520.9094805240311</v>
      </c>
      <c r="I110" s="41">
        <v>4215.380760430422</v>
      </c>
      <c r="J110" s="41">
        <v>31604.155996348774</v>
      </c>
      <c r="K110" s="40">
        <v>0.39184566264528664</v>
      </c>
      <c r="L110" s="41">
        <v>51967.32811907131</v>
      </c>
      <c r="M110" s="42">
        <v>6.0988006313001399</v>
      </c>
      <c r="N110" s="43">
        <v>2.3904157105968857</v>
      </c>
      <c r="O110" s="40">
        <v>0.50528980855090855</v>
      </c>
    </row>
    <row r="111" spans="1:15">
      <c r="A111" s="39">
        <v>1</v>
      </c>
      <c r="B111" s="39">
        <v>1960</v>
      </c>
      <c r="C111" s="39">
        <v>5</v>
      </c>
      <c r="D111" s="39">
        <v>100</v>
      </c>
      <c r="E111" s="39">
        <v>0</v>
      </c>
      <c r="F111" s="40">
        <v>0.21143703417844331</v>
      </c>
      <c r="G111" s="40">
        <v>1</v>
      </c>
      <c r="H111" s="41">
        <v>4305.5287200936091</v>
      </c>
      <c r="I111" s="41">
        <v>4305.5287200936091</v>
      </c>
      <c r="J111" s="41">
        <v>20363.172122722535</v>
      </c>
      <c r="K111" s="40">
        <v>0</v>
      </c>
      <c r="L111" s="41">
        <v>20363.172122722535</v>
      </c>
      <c r="M111" s="42">
        <v>4.7295404226869975</v>
      </c>
      <c r="N111" s="43">
        <v>4.7295404226869975</v>
      </c>
      <c r="O111" s="40">
        <v>0</v>
      </c>
    </row>
    <row r="112" spans="1:15">
      <c r="A112" s="44">
        <v>2</v>
      </c>
      <c r="B112" s="44">
        <v>1960</v>
      </c>
      <c r="C112" s="44">
        <v>5</v>
      </c>
      <c r="D112" s="44">
        <v>0</v>
      </c>
      <c r="E112" s="44">
        <v>1</v>
      </c>
      <c r="F112" s="45">
        <v>0.10495747842039983</v>
      </c>
      <c r="G112" s="45">
        <v>9.8224233747942924E-2</v>
      </c>
      <c r="H112" s="46">
        <v>100000</v>
      </c>
      <c r="I112" s="46">
        <v>9822.4233747942926</v>
      </c>
      <c r="J112" s="46">
        <v>93584.788074378608</v>
      </c>
      <c r="K112" s="45">
        <v>0.89680271331503647</v>
      </c>
      <c r="L112" s="46">
        <v>6696933.466556265</v>
      </c>
      <c r="M112" s="47">
        <v>66.969334665562656</v>
      </c>
      <c r="N112" s="48">
        <v>0.34688093957711952</v>
      </c>
      <c r="O112" s="45">
        <v>0.90177576625205713</v>
      </c>
    </row>
    <row r="113" spans="1:15">
      <c r="A113" s="44">
        <v>2</v>
      </c>
      <c r="B113" s="44">
        <v>1960</v>
      </c>
      <c r="C113" s="44">
        <v>5</v>
      </c>
      <c r="D113" s="44">
        <v>1</v>
      </c>
      <c r="E113" s="44">
        <v>4</v>
      </c>
      <c r="F113" s="45">
        <v>6.2982979565610591E-3</v>
      </c>
      <c r="G113" s="45">
        <v>2.4781553824063947E-2</v>
      </c>
      <c r="H113" s="46">
        <v>90177.576625205707</v>
      </c>
      <c r="I113" s="46">
        <v>2234.7404688611859</v>
      </c>
      <c r="J113" s="46">
        <v>354816.56858313963</v>
      </c>
      <c r="K113" s="45">
        <v>0.97881231413706027</v>
      </c>
      <c r="L113" s="46">
        <v>6603348.6784818862</v>
      </c>
      <c r="M113" s="47">
        <v>73.226060464305846</v>
      </c>
      <c r="N113" s="48">
        <v>1.362674547757833</v>
      </c>
      <c r="O113" s="45">
        <v>0.975218446175936</v>
      </c>
    </row>
    <row r="114" spans="1:15">
      <c r="A114" s="44">
        <v>2</v>
      </c>
      <c r="B114" s="44">
        <v>1960</v>
      </c>
      <c r="C114" s="44">
        <v>5</v>
      </c>
      <c r="D114" s="44">
        <v>5</v>
      </c>
      <c r="E114" s="44">
        <v>5</v>
      </c>
      <c r="F114" s="45">
        <v>7.4131673122634868E-4</v>
      </c>
      <c r="G114" s="45">
        <v>3.6997269823492804E-3</v>
      </c>
      <c r="H114" s="46">
        <v>87942.836156344521</v>
      </c>
      <c r="I114" s="46">
        <v>325.36448383194511</v>
      </c>
      <c r="J114" s="46">
        <v>438900.76957214274</v>
      </c>
      <c r="K114" s="45">
        <v>0.99671376961548186</v>
      </c>
      <c r="L114" s="46">
        <v>6248532.1098987469</v>
      </c>
      <c r="M114" s="47">
        <v>71.052201441287664</v>
      </c>
      <c r="N114" s="48">
        <v>2.5</v>
      </c>
      <c r="O114" s="45">
        <v>0.99630027301765067</v>
      </c>
    </row>
    <row r="115" spans="1:15">
      <c r="A115" s="44">
        <v>2</v>
      </c>
      <c r="B115" s="44">
        <v>1960</v>
      </c>
      <c r="C115" s="44">
        <v>5</v>
      </c>
      <c r="D115" s="44">
        <v>10</v>
      </c>
      <c r="E115" s="44">
        <v>5</v>
      </c>
      <c r="F115" s="45">
        <v>5.7506521937790705E-4</v>
      </c>
      <c r="G115" s="45">
        <v>2.8711982812158732E-3</v>
      </c>
      <c r="H115" s="46">
        <v>87617.471672512576</v>
      </c>
      <c r="I115" s="46">
        <v>251.56713407060306</v>
      </c>
      <c r="J115" s="46">
        <v>437458.44052738638</v>
      </c>
      <c r="K115" s="45">
        <v>0.99643472156104118</v>
      </c>
      <c r="L115" s="46">
        <v>5809631.3403266044</v>
      </c>
      <c r="M115" s="47">
        <v>66.306767696301904</v>
      </c>
      <c r="N115" s="48">
        <v>2.5</v>
      </c>
      <c r="O115" s="45">
        <v>0.99712880171878415</v>
      </c>
    </row>
    <row r="116" spans="1:15">
      <c r="A116" s="44">
        <v>2</v>
      </c>
      <c r="B116" s="44">
        <v>1960</v>
      </c>
      <c r="C116" s="44">
        <v>5</v>
      </c>
      <c r="D116" s="44">
        <v>15</v>
      </c>
      <c r="E116" s="44">
        <v>5</v>
      </c>
      <c r="F116" s="45">
        <v>9.0438366901495057E-4</v>
      </c>
      <c r="G116" s="45">
        <v>4.512283590478461E-3</v>
      </c>
      <c r="H116" s="46">
        <v>87365.904538441973</v>
      </c>
      <c r="I116" s="46">
        <v>394.21973741611873</v>
      </c>
      <c r="J116" s="46">
        <v>435898.77938143356</v>
      </c>
      <c r="K116" s="45">
        <v>0.99491612890382641</v>
      </c>
      <c r="L116" s="46">
        <v>5372172.8997992184</v>
      </c>
      <c r="M116" s="47">
        <v>61.490497101594165</v>
      </c>
      <c r="N116" s="48">
        <v>2.6390240709996675</v>
      </c>
      <c r="O116" s="45">
        <v>0.99548771640952149</v>
      </c>
    </row>
    <row r="117" spans="1:15">
      <c r="A117" s="44">
        <v>2</v>
      </c>
      <c r="B117" s="44">
        <v>1960</v>
      </c>
      <c r="C117" s="44">
        <v>5</v>
      </c>
      <c r="D117" s="44">
        <v>20</v>
      </c>
      <c r="E117" s="44">
        <v>5</v>
      </c>
      <c r="F117" s="45">
        <v>1.1309834431211957E-3</v>
      </c>
      <c r="G117" s="45">
        <v>5.6396283916420467E-3</v>
      </c>
      <c r="H117" s="46">
        <v>86971.684801025855</v>
      </c>
      <c r="I117" s="46">
        <v>490.48798287281534</v>
      </c>
      <c r="J117" s="46">
        <v>433682.72617607896</v>
      </c>
      <c r="K117" s="45">
        <v>0.99350618975750771</v>
      </c>
      <c r="L117" s="46">
        <v>4936274.1204177849</v>
      </c>
      <c r="M117" s="47">
        <v>56.757255326385952</v>
      </c>
      <c r="N117" s="48">
        <v>2.6030038041621779</v>
      </c>
      <c r="O117" s="45">
        <v>0.994360371608358</v>
      </c>
    </row>
    <row r="118" spans="1:15">
      <c r="A118" s="44">
        <v>2</v>
      </c>
      <c r="B118" s="44">
        <v>1960</v>
      </c>
      <c r="C118" s="44">
        <v>5</v>
      </c>
      <c r="D118" s="44">
        <v>25</v>
      </c>
      <c r="E118" s="44">
        <v>5</v>
      </c>
      <c r="F118" s="45">
        <v>1.4996421281492469E-3</v>
      </c>
      <c r="G118" s="45">
        <v>7.4715144801577411E-3</v>
      </c>
      <c r="H118" s="46">
        <v>86481.196818153039</v>
      </c>
      <c r="I118" s="46">
        <v>646.14551428820414</v>
      </c>
      <c r="J118" s="46">
        <v>430866.47284684476</v>
      </c>
      <c r="K118" s="45">
        <v>0.9913633700757849</v>
      </c>
      <c r="L118" s="46">
        <v>4502591.3942417055</v>
      </c>
      <c r="M118" s="47">
        <v>52.064397347662265</v>
      </c>
      <c r="N118" s="48">
        <v>2.6173923522221716</v>
      </c>
      <c r="O118" s="45">
        <v>0.9925284855198423</v>
      </c>
    </row>
    <row r="119" spans="1:15">
      <c r="A119" s="44">
        <v>2</v>
      </c>
      <c r="B119" s="44">
        <v>1960</v>
      </c>
      <c r="C119" s="44">
        <v>5</v>
      </c>
      <c r="D119" s="44">
        <v>30</v>
      </c>
      <c r="E119" s="44">
        <v>5</v>
      </c>
      <c r="F119" s="45">
        <v>2.0169112758410277E-3</v>
      </c>
      <c r="G119" s="45">
        <v>1.0036855981504458E-2</v>
      </c>
      <c r="H119" s="46">
        <v>85835.051303864835</v>
      </c>
      <c r="I119" s="46">
        <v>861.51404810193344</v>
      </c>
      <c r="J119" s="46">
        <v>427145.23857411469</v>
      </c>
      <c r="K119" s="45">
        <v>0.98756496774804459</v>
      </c>
      <c r="L119" s="46">
        <v>4071724.9213948604</v>
      </c>
      <c r="M119" s="47">
        <v>47.436622446703488</v>
      </c>
      <c r="N119" s="48">
        <v>2.6436623991425789</v>
      </c>
      <c r="O119" s="45">
        <v>0.9899631440184955</v>
      </c>
    </row>
    <row r="120" spans="1:15">
      <c r="A120" s="44">
        <v>2</v>
      </c>
      <c r="B120" s="44">
        <v>1960</v>
      </c>
      <c r="C120" s="44">
        <v>5</v>
      </c>
      <c r="D120" s="44">
        <v>35</v>
      </c>
      <c r="E120" s="44">
        <v>5</v>
      </c>
      <c r="F120" s="45">
        <v>3.0494923283755303E-3</v>
      </c>
      <c r="G120" s="45">
        <v>1.5138578356436304E-2</v>
      </c>
      <c r="H120" s="46">
        <v>84973.537255762902</v>
      </c>
      <c r="I120" s="46">
        <v>1286.3785519699304</v>
      </c>
      <c r="J120" s="46">
        <v>421833.67375617637</v>
      </c>
      <c r="K120" s="45">
        <v>0.98222316854553315</v>
      </c>
      <c r="L120" s="46">
        <v>3644579.6828207457</v>
      </c>
      <c r="M120" s="47">
        <v>42.890761059538811</v>
      </c>
      <c r="N120" s="48">
        <v>2.641431040659151</v>
      </c>
      <c r="O120" s="45">
        <v>0.98486142164356372</v>
      </c>
    </row>
    <row r="121" spans="1:15">
      <c r="A121" s="44">
        <v>2</v>
      </c>
      <c r="B121" s="44">
        <v>1960</v>
      </c>
      <c r="C121" s="44">
        <v>5</v>
      </c>
      <c r="D121" s="44">
        <v>40</v>
      </c>
      <c r="E121" s="44">
        <v>5</v>
      </c>
      <c r="F121" s="45">
        <v>4.0997712860838306E-3</v>
      </c>
      <c r="G121" s="45">
        <v>2.0297952200570134E-2</v>
      </c>
      <c r="H121" s="46">
        <v>83687.158703792971</v>
      </c>
      <c r="I121" s="46">
        <v>1698.6779471711052</v>
      </c>
      <c r="J121" s="46">
        <v>414334.80763599428</v>
      </c>
      <c r="K121" s="45">
        <v>0.9782405339231699</v>
      </c>
      <c r="L121" s="46">
        <v>3222746.0090645691</v>
      </c>
      <c r="M121" s="47">
        <v>38.509444686386558</v>
      </c>
      <c r="N121" s="48">
        <v>2.5857778751998413</v>
      </c>
      <c r="O121" s="45">
        <v>0.97970204779942982</v>
      </c>
    </row>
    <row r="122" spans="1:15">
      <c r="A122" s="44">
        <v>2</v>
      </c>
      <c r="B122" s="44">
        <v>1960</v>
      </c>
      <c r="C122" s="44">
        <v>5</v>
      </c>
      <c r="D122" s="44">
        <v>45</v>
      </c>
      <c r="E122" s="44">
        <v>5</v>
      </c>
      <c r="F122" s="45">
        <v>4.7956374538820259E-3</v>
      </c>
      <c r="G122" s="45">
        <v>2.3707763033488378E-2</v>
      </c>
      <c r="H122" s="46">
        <v>81988.480756621866</v>
      </c>
      <c r="I122" s="46">
        <v>1943.7634732537117</v>
      </c>
      <c r="J122" s="46">
        <v>405319.10344478895</v>
      </c>
      <c r="K122" s="45">
        <v>0.96973749995259306</v>
      </c>
      <c r="L122" s="46">
        <v>2808411.201428575</v>
      </c>
      <c r="M122" s="47">
        <v>34.253729005726839</v>
      </c>
      <c r="N122" s="48">
        <v>2.621469689117395</v>
      </c>
      <c r="O122" s="45">
        <v>0.97629223696651157</v>
      </c>
    </row>
    <row r="123" spans="1:15">
      <c r="A123" s="44">
        <v>2</v>
      </c>
      <c r="B123" s="44">
        <v>1960</v>
      </c>
      <c r="C123" s="44">
        <v>5</v>
      </c>
      <c r="D123" s="44">
        <v>50</v>
      </c>
      <c r="E123" s="44">
        <v>5</v>
      </c>
      <c r="F123" s="45">
        <v>7.7055594171955765E-3</v>
      </c>
      <c r="G123" s="45">
        <v>3.7837528588846661E-2</v>
      </c>
      <c r="H123" s="46">
        <v>80044.717283368154</v>
      </c>
      <c r="I123" s="46">
        <v>3028.6942785955907</v>
      </c>
      <c r="J123" s="46">
        <v>393053.13405757607</v>
      </c>
      <c r="K123" s="45">
        <v>0.95748450200901503</v>
      </c>
      <c r="L123" s="46">
        <v>2403092.0979837859</v>
      </c>
      <c r="M123" s="47">
        <v>30.02187001893634</v>
      </c>
      <c r="N123" s="48">
        <v>2.6324938406825149</v>
      </c>
      <c r="O123" s="45">
        <v>0.9621624714111533</v>
      </c>
    </row>
    <row r="124" spans="1:15">
      <c r="A124" s="44">
        <v>2</v>
      </c>
      <c r="B124" s="44">
        <v>1960</v>
      </c>
      <c r="C124" s="44">
        <v>5</v>
      </c>
      <c r="D124" s="44">
        <v>55</v>
      </c>
      <c r="E124" s="44">
        <v>5</v>
      </c>
      <c r="F124" s="45">
        <v>9.783846117825316E-3</v>
      </c>
      <c r="G124" s="45">
        <v>4.7809207147066511E-2</v>
      </c>
      <c r="H124" s="46">
        <v>77016.023004772564</v>
      </c>
      <c r="I124" s="46">
        <v>3682.0749974784121</v>
      </c>
      <c r="J124" s="46">
        <v>376342.28432620084</v>
      </c>
      <c r="K124" s="45">
        <v>0.93996774952276541</v>
      </c>
      <c r="L124" s="46">
        <v>2010038.9639262098</v>
      </c>
      <c r="M124" s="47">
        <v>26.098971168657343</v>
      </c>
      <c r="N124" s="48">
        <v>2.6269275602354925</v>
      </c>
      <c r="O124" s="45">
        <v>0.95219079285293351</v>
      </c>
    </row>
    <row r="125" spans="1:15">
      <c r="A125" s="44">
        <v>2</v>
      </c>
      <c r="B125" s="44">
        <v>1960</v>
      </c>
      <c r="C125" s="44">
        <v>5</v>
      </c>
      <c r="D125" s="44">
        <v>60</v>
      </c>
      <c r="E125" s="44">
        <v>5</v>
      </c>
      <c r="F125" s="45">
        <v>1.5627509971276349E-2</v>
      </c>
      <c r="G125" s="45">
        <v>7.5384262113038489E-2</v>
      </c>
      <c r="H125" s="46">
        <v>73333.948007294151</v>
      </c>
      <c r="I125" s="46">
        <v>5528.225558365797</v>
      </c>
      <c r="J125" s="46">
        <v>353749.61004835571</v>
      </c>
      <c r="K125" s="45">
        <v>0.90404244983541904</v>
      </c>
      <c r="L125" s="46">
        <v>1633696.679600009</v>
      </c>
      <c r="M125" s="47">
        <v>22.27749526641486</v>
      </c>
      <c r="N125" s="48">
        <v>2.6628793721046438</v>
      </c>
      <c r="O125" s="45">
        <v>0.9246157378869615</v>
      </c>
    </row>
    <row r="126" spans="1:15">
      <c r="A126" s="44">
        <v>2</v>
      </c>
      <c r="B126" s="44">
        <v>1960</v>
      </c>
      <c r="C126" s="44">
        <v>5</v>
      </c>
      <c r="D126" s="44">
        <v>65</v>
      </c>
      <c r="E126" s="44">
        <v>5</v>
      </c>
      <c r="F126" s="45">
        <v>2.4998823309369006E-2</v>
      </c>
      <c r="G126" s="45">
        <v>0.11790657193101486</v>
      </c>
      <c r="H126" s="46">
        <v>67805.722448928354</v>
      </c>
      <c r="I126" s="46">
        <v>7994.7402912589969</v>
      </c>
      <c r="J126" s="46">
        <v>319804.66409643966</v>
      </c>
      <c r="K126" s="45">
        <v>0.86911790388758647</v>
      </c>
      <c r="L126" s="46">
        <v>1279947.0695516532</v>
      </c>
      <c r="M126" s="47">
        <v>18.876682134250785</v>
      </c>
      <c r="N126" s="48">
        <v>2.5954255613255492</v>
      </c>
      <c r="O126" s="45">
        <v>0.88209342806898516</v>
      </c>
    </row>
    <row r="127" spans="1:15">
      <c r="A127" s="44">
        <v>2</v>
      </c>
      <c r="B127" s="44">
        <v>1960</v>
      </c>
      <c r="C127" s="44">
        <v>5</v>
      </c>
      <c r="D127" s="44">
        <v>70</v>
      </c>
      <c r="E127" s="44">
        <v>5</v>
      </c>
      <c r="F127" s="45">
        <v>3.1723690886608528E-2</v>
      </c>
      <c r="G127" s="45">
        <v>0.14742334644437377</v>
      </c>
      <c r="H127" s="46">
        <v>59810.982157669358</v>
      </c>
      <c r="I127" s="46">
        <v>8817.5351438083526</v>
      </c>
      <c r="J127" s="46">
        <v>277947.95931297133</v>
      </c>
      <c r="K127" s="45">
        <v>0.80310512639837006</v>
      </c>
      <c r="L127" s="46">
        <v>960142.40545521362</v>
      </c>
      <c r="M127" s="47">
        <v>16.052944974622822</v>
      </c>
      <c r="N127" s="48">
        <v>2.6062526396396981</v>
      </c>
      <c r="O127" s="45">
        <v>0.85257665355562628</v>
      </c>
    </row>
    <row r="128" spans="1:15">
      <c r="A128" s="44">
        <v>2</v>
      </c>
      <c r="B128" s="44">
        <v>1960</v>
      </c>
      <c r="C128" s="44">
        <v>5</v>
      </c>
      <c r="D128" s="44">
        <v>75</v>
      </c>
      <c r="E128" s="44">
        <v>5</v>
      </c>
      <c r="F128" s="45">
        <v>5.7172804257045282E-2</v>
      </c>
      <c r="G128" s="45">
        <v>0.250271278520454</v>
      </c>
      <c r="H128" s="46">
        <v>50993.447013861005</v>
      </c>
      <c r="I128" s="46">
        <v>12762.195180324023</v>
      </c>
      <c r="J128" s="46">
        <v>223221.43099621288</v>
      </c>
      <c r="K128" s="45">
        <v>0.74158892744555616</v>
      </c>
      <c r="L128" s="46">
        <v>682194.44614224229</v>
      </c>
      <c r="M128" s="47">
        <v>13.378080637631903</v>
      </c>
      <c r="N128" s="48">
        <v>2.5125122579197119</v>
      </c>
      <c r="O128" s="45">
        <v>0.74972872147954606</v>
      </c>
    </row>
    <row r="129" spans="1:15">
      <c r="A129" s="44">
        <v>2</v>
      </c>
      <c r="B129" s="44">
        <v>1960</v>
      </c>
      <c r="C129" s="44">
        <v>5</v>
      </c>
      <c r="D129" s="44">
        <v>80</v>
      </c>
      <c r="E129" s="44">
        <v>5</v>
      </c>
      <c r="F129" s="45">
        <v>5.9671267845268015E-2</v>
      </c>
      <c r="G129" s="45">
        <v>0.25837225255558516</v>
      </c>
      <c r="H129" s="46">
        <v>38231.251833536982</v>
      </c>
      <c r="I129" s="46">
        <v>9877.8946542507947</v>
      </c>
      <c r="J129" s="46">
        <v>165538.54159534373</v>
      </c>
      <c r="K129" s="45">
        <v>0.73178793359995098</v>
      </c>
      <c r="L129" s="46">
        <v>458973.01514602941</v>
      </c>
      <c r="M129" s="47">
        <v>12.005178829729346</v>
      </c>
      <c r="N129" s="48">
        <v>2.4065609657704732</v>
      </c>
      <c r="O129" s="45">
        <v>0.74162774744441484</v>
      </c>
    </row>
    <row r="130" spans="1:15">
      <c r="A130" s="44">
        <v>2</v>
      </c>
      <c r="B130" s="44">
        <v>1960</v>
      </c>
      <c r="C130" s="44">
        <v>5</v>
      </c>
      <c r="D130" s="44">
        <v>85</v>
      </c>
      <c r="E130" s="44">
        <v>5</v>
      </c>
      <c r="F130" s="45">
        <v>6.6306216064296736E-2</v>
      </c>
      <c r="G130" s="45">
        <v>0.28329187865474198</v>
      </c>
      <c r="H130" s="46">
        <v>28353.357179286188</v>
      </c>
      <c r="I130" s="46">
        <v>8032.2758214889</v>
      </c>
      <c r="J130" s="46">
        <v>121139.10728520612</v>
      </c>
      <c r="K130" s="45">
        <v>0.69140420313984163</v>
      </c>
      <c r="L130" s="46">
        <v>293434.47355068568</v>
      </c>
      <c r="M130" s="47">
        <v>10.349196805698092</v>
      </c>
      <c r="N130" s="48">
        <v>2.4319011112592519</v>
      </c>
      <c r="O130" s="45">
        <v>0.71670812134525796</v>
      </c>
    </row>
    <row r="131" spans="1:15">
      <c r="A131" s="44">
        <v>2</v>
      </c>
      <c r="B131" s="44">
        <v>1960</v>
      </c>
      <c r="C131" s="44">
        <v>5</v>
      </c>
      <c r="D131" s="44">
        <v>90</v>
      </c>
      <c r="E131" s="44">
        <v>5</v>
      </c>
      <c r="F131" s="45">
        <v>8.3515991092590433E-2</v>
      </c>
      <c r="G131" s="45">
        <v>0.34422246391906997</v>
      </c>
      <c r="H131" s="46">
        <v>20321.081357797288</v>
      </c>
      <c r="I131" s="46">
        <v>6994.9726944808608</v>
      </c>
      <c r="J131" s="46">
        <v>83756.087941599719</v>
      </c>
      <c r="K131" s="45">
        <v>0.60871174467563338</v>
      </c>
      <c r="L131" s="46">
        <v>172295.36626547953</v>
      </c>
      <c r="M131" s="47">
        <v>8.4786514670081292</v>
      </c>
      <c r="N131" s="48">
        <v>2.4482646856548698</v>
      </c>
      <c r="O131" s="45">
        <v>0.65577753608093003</v>
      </c>
    </row>
    <row r="132" spans="1:15">
      <c r="A132" s="44">
        <v>2</v>
      </c>
      <c r="B132" s="44">
        <v>1960</v>
      </c>
      <c r="C132" s="44">
        <v>5</v>
      </c>
      <c r="D132" s="44">
        <v>95</v>
      </c>
      <c r="E132" s="44">
        <v>5</v>
      </c>
      <c r="F132" s="45">
        <v>0.11923711236199594</v>
      </c>
      <c r="G132" s="45">
        <v>0.4561799204441932</v>
      </c>
      <c r="H132" s="46">
        <v>13326.108663316427</v>
      </c>
      <c r="I132" s="46">
        <v>6079.1031898623614</v>
      </c>
      <c r="J132" s="46">
        <v>50983.314418136943</v>
      </c>
      <c r="K132" s="45">
        <v>0.42417291643559407</v>
      </c>
      <c r="L132" s="46">
        <v>88539.278323879829</v>
      </c>
      <c r="M132" s="47">
        <v>6.6440459522596553</v>
      </c>
      <c r="N132" s="48">
        <v>2.4260629553815045</v>
      </c>
      <c r="O132" s="45">
        <v>0.5438200795558068</v>
      </c>
    </row>
    <row r="133" spans="1:15">
      <c r="A133" s="44">
        <v>2</v>
      </c>
      <c r="B133" s="44">
        <v>1960</v>
      </c>
      <c r="C133" s="44">
        <v>5</v>
      </c>
      <c r="D133" s="44">
        <v>100</v>
      </c>
      <c r="E133" s="44">
        <v>0</v>
      </c>
      <c r="F133" s="45">
        <v>0.19296550320589392</v>
      </c>
      <c r="G133" s="45">
        <v>1</v>
      </c>
      <c r="H133" s="46">
        <v>7247.0054734540654</v>
      </c>
      <c r="I133" s="46">
        <v>7247.0054734540654</v>
      </c>
      <c r="J133" s="46">
        <v>37555.963905742887</v>
      </c>
      <c r="K133" s="45">
        <v>0</v>
      </c>
      <c r="L133" s="46">
        <v>37555.963905742887</v>
      </c>
      <c r="M133" s="47">
        <v>5.1822734291165062</v>
      </c>
      <c r="N133" s="48">
        <v>5.1822734291165062</v>
      </c>
      <c r="O133" s="45">
        <v>0</v>
      </c>
    </row>
    <row r="134" spans="1:15">
      <c r="A134" s="39">
        <v>1</v>
      </c>
      <c r="B134" s="39">
        <v>1965</v>
      </c>
      <c r="C134" s="39">
        <v>5</v>
      </c>
      <c r="D134" s="39">
        <v>0</v>
      </c>
      <c r="E134" s="39">
        <v>1</v>
      </c>
      <c r="F134" s="40">
        <v>9.3391835203026283E-2</v>
      </c>
      <c r="G134" s="40">
        <v>8.7627746777435386E-2</v>
      </c>
      <c r="H134" s="41">
        <v>100000</v>
      </c>
      <c r="I134" s="41">
        <v>8762.7746777435386</v>
      </c>
      <c r="J134" s="41">
        <v>93828.059580304631</v>
      </c>
      <c r="K134" s="40">
        <v>0.90947048957675547</v>
      </c>
      <c r="L134" s="41">
        <v>6358112.0795237329</v>
      </c>
      <c r="M134" s="42">
        <v>63.581120795237332</v>
      </c>
      <c r="N134" s="43">
        <v>0.29566368568492257</v>
      </c>
      <c r="O134" s="40">
        <v>0.91237225322256466</v>
      </c>
    </row>
    <row r="135" spans="1:15">
      <c r="A135" s="39">
        <v>1</v>
      </c>
      <c r="B135" s="39">
        <v>1965</v>
      </c>
      <c r="C135" s="39">
        <v>5</v>
      </c>
      <c r="D135" s="39">
        <v>1</v>
      </c>
      <c r="E135" s="39">
        <v>4</v>
      </c>
      <c r="F135" s="40">
        <v>4.287444684093397E-3</v>
      </c>
      <c r="G135" s="40">
        <v>1.6959849307188492E-2</v>
      </c>
      <c r="H135" s="41">
        <v>91237.225322256461</v>
      </c>
      <c r="I135" s="41">
        <v>1547.3695926714718</v>
      </c>
      <c r="J135" s="41">
        <v>360907.18520807318</v>
      </c>
      <c r="K135" s="40">
        <v>0.98402151407724081</v>
      </c>
      <c r="L135" s="41">
        <v>6264284.0199434282</v>
      </c>
      <c r="M135" s="42">
        <v>68.659299949308249</v>
      </c>
      <c r="N135" s="43">
        <v>1.3880085920682781</v>
      </c>
      <c r="O135" s="40">
        <v>0.98304015069281148</v>
      </c>
    </row>
    <row r="136" spans="1:15">
      <c r="A136" s="39">
        <v>1</v>
      </c>
      <c r="B136" s="39">
        <v>1965</v>
      </c>
      <c r="C136" s="39">
        <v>5</v>
      </c>
      <c r="D136" s="39">
        <v>5</v>
      </c>
      <c r="E136" s="39">
        <v>5</v>
      </c>
      <c r="F136" s="40">
        <v>8.760508447377142E-4</v>
      </c>
      <c r="G136" s="40">
        <v>4.3706818748172876E-3</v>
      </c>
      <c r="H136" s="41">
        <v>89689.85572958499</v>
      </c>
      <c r="I136" s="41">
        <v>392.00582679227227</v>
      </c>
      <c r="J136" s="41">
        <v>447469.26408094424</v>
      </c>
      <c r="K136" s="40">
        <v>0.99580370013613062</v>
      </c>
      <c r="L136" s="41">
        <v>5903376.8347353553</v>
      </c>
      <c r="M136" s="42">
        <v>65.819894420769756</v>
      </c>
      <c r="N136" s="43">
        <v>2.5</v>
      </c>
      <c r="O136" s="40">
        <v>0.99562931812518274</v>
      </c>
    </row>
    <row r="137" spans="1:15">
      <c r="A137" s="39">
        <v>1</v>
      </c>
      <c r="B137" s="39">
        <v>1965</v>
      </c>
      <c r="C137" s="39">
        <v>5</v>
      </c>
      <c r="D137" s="39">
        <v>10</v>
      </c>
      <c r="E137" s="39">
        <v>5</v>
      </c>
      <c r="F137" s="40">
        <v>8.0585069195904171E-4</v>
      </c>
      <c r="G137" s="40">
        <v>4.0211523388084544E-3</v>
      </c>
      <c r="H137" s="41">
        <v>89297.849902792717</v>
      </c>
      <c r="I137" s="41">
        <v>359.08025798718154</v>
      </c>
      <c r="J137" s="41">
        <v>445591.54886899563</v>
      </c>
      <c r="K137" s="40">
        <v>0.99491678025866381</v>
      </c>
      <c r="L137" s="41">
        <v>5455907.5706544109</v>
      </c>
      <c r="M137" s="42">
        <v>61.097860436657406</v>
      </c>
      <c r="N137" s="43">
        <v>2.5</v>
      </c>
      <c r="O137" s="40">
        <v>0.99597884766119149</v>
      </c>
    </row>
    <row r="138" spans="1:15">
      <c r="A138" s="39">
        <v>1</v>
      </c>
      <c r="B138" s="39">
        <v>1965</v>
      </c>
      <c r="C138" s="39">
        <v>5</v>
      </c>
      <c r="D138" s="39">
        <v>15</v>
      </c>
      <c r="E138" s="39">
        <v>5</v>
      </c>
      <c r="F138" s="40">
        <v>1.3373525812460159E-3</v>
      </c>
      <c r="G138" s="40">
        <v>6.6662025308250068E-3</v>
      </c>
      <c r="H138" s="41">
        <v>88938.769644805536</v>
      </c>
      <c r="I138" s="41">
        <v>592.88385129466769</v>
      </c>
      <c r="J138" s="41">
        <v>443326.50911121216</v>
      </c>
      <c r="K138" s="40">
        <v>0.9915846745593403</v>
      </c>
      <c r="L138" s="41">
        <v>5010316.0217854157</v>
      </c>
      <c r="M138" s="42">
        <v>56.334442693496861</v>
      </c>
      <c r="N138" s="43">
        <v>2.6937487674361273</v>
      </c>
      <c r="O138" s="40">
        <v>0.99333379746917494</v>
      </c>
    </row>
    <row r="139" spans="1:15">
      <c r="A139" s="39">
        <v>1</v>
      </c>
      <c r="B139" s="39">
        <v>1965</v>
      </c>
      <c r="C139" s="39">
        <v>5</v>
      </c>
      <c r="D139" s="39">
        <v>20</v>
      </c>
      <c r="E139" s="39">
        <v>5</v>
      </c>
      <c r="F139" s="40">
        <v>2.0699217614497164E-3</v>
      </c>
      <c r="G139" s="40">
        <v>1.0299617770206142E-2</v>
      </c>
      <c r="H139" s="41">
        <v>88345.885793510868</v>
      </c>
      <c r="I139" s="41">
        <v>909.92885524344456</v>
      </c>
      <c r="J139" s="41">
        <v>439595.77226056973</v>
      </c>
      <c r="K139" s="40">
        <v>0.98775424250015376</v>
      </c>
      <c r="L139" s="41">
        <v>4566989.5126742031</v>
      </c>
      <c r="M139" s="42">
        <v>51.694422118858363</v>
      </c>
      <c r="N139" s="43">
        <v>2.6551389763172608</v>
      </c>
      <c r="O139" s="40">
        <v>0.98970038222979384</v>
      </c>
    </row>
    <row r="140" spans="1:15">
      <c r="A140" s="39">
        <v>1</v>
      </c>
      <c r="B140" s="39">
        <v>1965</v>
      </c>
      <c r="C140" s="39">
        <v>5</v>
      </c>
      <c r="D140" s="39">
        <v>25</v>
      </c>
      <c r="E140" s="39">
        <v>5</v>
      </c>
      <c r="F140" s="40">
        <v>2.8750161108904559E-3</v>
      </c>
      <c r="G140" s="40">
        <v>1.4277515026340171E-2</v>
      </c>
      <c r="H140" s="41">
        <v>87435.956938267424</v>
      </c>
      <c r="I140" s="41">
        <v>1248.3681890285516</v>
      </c>
      <c r="J140" s="41">
        <v>434212.58903550915</v>
      </c>
      <c r="K140" s="40">
        <v>0.98340601281863926</v>
      </c>
      <c r="L140" s="41">
        <v>4127393.7404136332</v>
      </c>
      <c r="M140" s="42">
        <v>47.20476432056099</v>
      </c>
      <c r="N140" s="43">
        <v>2.6231406071497387</v>
      </c>
      <c r="O140" s="40">
        <v>0.98572248497365988</v>
      </c>
    </row>
    <row r="141" spans="1:15">
      <c r="A141" s="39">
        <v>1</v>
      </c>
      <c r="B141" s="39">
        <v>1965</v>
      </c>
      <c r="C141" s="39">
        <v>5</v>
      </c>
      <c r="D141" s="39">
        <v>30</v>
      </c>
      <c r="E141" s="39">
        <v>5</v>
      </c>
      <c r="F141" s="40">
        <v>3.847162584654631E-3</v>
      </c>
      <c r="G141" s="40">
        <v>1.9060359151686881E-2</v>
      </c>
      <c r="H141" s="41">
        <v>86187.588749238872</v>
      </c>
      <c r="I141" s="41">
        <v>1642.7663959783822</v>
      </c>
      <c r="J141" s="41">
        <v>427007.27089906845</v>
      </c>
      <c r="K141" s="40">
        <v>0.97826622926786733</v>
      </c>
      <c r="L141" s="41">
        <v>3693181.151378124</v>
      </c>
      <c r="M141" s="42">
        <v>42.850498603962151</v>
      </c>
      <c r="N141" s="43">
        <v>2.6072843608509957</v>
      </c>
      <c r="O141" s="40">
        <v>0.98093964084831309</v>
      </c>
    </row>
    <row r="142" spans="1:15">
      <c r="A142" s="39">
        <v>1</v>
      </c>
      <c r="B142" s="39">
        <v>1965</v>
      </c>
      <c r="C142" s="39">
        <v>5</v>
      </c>
      <c r="D142" s="39">
        <v>35</v>
      </c>
      <c r="E142" s="39">
        <v>5</v>
      </c>
      <c r="F142" s="40">
        <v>5.0002846256949878E-3</v>
      </c>
      <c r="G142" s="40">
        <v>2.4705863724132911E-2</v>
      </c>
      <c r="H142" s="41">
        <v>84544.82235326049</v>
      </c>
      <c r="I142" s="41">
        <v>2088.7528596406628</v>
      </c>
      <c r="J142" s="41">
        <v>417726.79277239443</v>
      </c>
      <c r="K142" s="40">
        <v>0.97106424349213039</v>
      </c>
      <c r="L142" s="41">
        <v>3266173.8804790555</v>
      </c>
      <c r="M142" s="42">
        <v>38.63245305350263</v>
      </c>
      <c r="N142" s="43">
        <v>2.6075106392587997</v>
      </c>
      <c r="O142" s="40">
        <v>0.97529413627586714</v>
      </c>
    </row>
    <row r="143" spans="1:15">
      <c r="A143" s="39">
        <v>1</v>
      </c>
      <c r="B143" s="39">
        <v>1965</v>
      </c>
      <c r="C143" s="39">
        <v>5</v>
      </c>
      <c r="D143" s="39">
        <v>40</v>
      </c>
      <c r="E143" s="39">
        <v>5</v>
      </c>
      <c r="F143" s="40">
        <v>6.776019263781758E-3</v>
      </c>
      <c r="G143" s="40">
        <v>3.3334373508837861E-2</v>
      </c>
      <c r="H143" s="41">
        <v>82456.069493619827</v>
      </c>
      <c r="I143" s="41">
        <v>2748.6214185710269</v>
      </c>
      <c r="J143" s="41">
        <v>405639.55200991913</v>
      </c>
      <c r="K143" s="40">
        <v>0.96402884996647198</v>
      </c>
      <c r="L143" s="41">
        <v>2848447.0877066609</v>
      </c>
      <c r="M143" s="42">
        <v>34.545026281261975</v>
      </c>
      <c r="N143" s="43">
        <v>2.5839541184858801</v>
      </c>
      <c r="O143" s="40">
        <v>0.96666562649116217</v>
      </c>
    </row>
    <row r="144" spans="1:15">
      <c r="A144" s="39">
        <v>1</v>
      </c>
      <c r="B144" s="39">
        <v>1965</v>
      </c>
      <c r="C144" s="39">
        <v>5</v>
      </c>
      <c r="D144" s="39">
        <v>45</v>
      </c>
      <c r="E144" s="39">
        <v>5</v>
      </c>
      <c r="F144" s="40">
        <v>8.0063485628287731E-3</v>
      </c>
      <c r="G144" s="40">
        <v>3.9279496665291451E-2</v>
      </c>
      <c r="H144" s="41">
        <v>79707.4480750488</v>
      </c>
      <c r="I144" s="41">
        <v>3130.8684408627596</v>
      </c>
      <c r="J144" s="41">
        <v>391048.23082503723</v>
      </c>
      <c r="K144" s="40">
        <v>0.95114829711071747</v>
      </c>
      <c r="L144" s="41">
        <v>2442807.5356967417</v>
      </c>
      <c r="M144" s="42">
        <v>30.647167795369743</v>
      </c>
      <c r="N144" s="43">
        <v>2.6080088666571171</v>
      </c>
      <c r="O144" s="40">
        <v>0.9607205033347086</v>
      </c>
    </row>
    <row r="145" spans="1:15">
      <c r="A145" s="39">
        <v>1</v>
      </c>
      <c r="B145" s="39">
        <v>1965</v>
      </c>
      <c r="C145" s="39">
        <v>5</v>
      </c>
      <c r="D145" s="39">
        <v>50</v>
      </c>
      <c r="E145" s="39">
        <v>5</v>
      </c>
      <c r="F145" s="40">
        <v>1.232828043872573E-2</v>
      </c>
      <c r="G145" s="40">
        <v>5.9880456262146227E-2</v>
      </c>
      <c r="H145" s="41">
        <v>76576.57963418604</v>
      </c>
      <c r="I145" s="41">
        <v>4585.4405274896417</v>
      </c>
      <c r="J145" s="41">
        <v>371944.85883739294</v>
      </c>
      <c r="K145" s="40">
        <v>0.93258034208754415</v>
      </c>
      <c r="L145" s="41">
        <v>2051759.3048717044</v>
      </c>
      <c r="M145" s="42">
        <v>26.793561617313848</v>
      </c>
      <c r="N145" s="43">
        <v>2.614615374910247</v>
      </c>
      <c r="O145" s="40">
        <v>0.94011954373785378</v>
      </c>
    </row>
    <row r="146" spans="1:15">
      <c r="A146" s="39">
        <v>1</v>
      </c>
      <c r="B146" s="39">
        <v>1965</v>
      </c>
      <c r="C146" s="39">
        <v>5</v>
      </c>
      <c r="D146" s="39">
        <v>55</v>
      </c>
      <c r="E146" s="39">
        <v>5</v>
      </c>
      <c r="F146" s="40">
        <v>1.5700167817021691E-2</v>
      </c>
      <c r="G146" s="40">
        <v>7.5646713720282269E-2</v>
      </c>
      <c r="H146" s="41">
        <v>71991.139106696399</v>
      </c>
      <c r="I146" s="41">
        <v>5445.8930904012814</v>
      </c>
      <c r="J146" s="41">
        <v>346868.46369227924</v>
      </c>
      <c r="K146" s="40">
        <v>0.90941308133478971</v>
      </c>
      <c r="L146" s="41">
        <v>1679814.4460343115</v>
      </c>
      <c r="M146" s="42">
        <v>23.333627816955328</v>
      </c>
      <c r="N146" s="43">
        <v>2.5968621447472411</v>
      </c>
      <c r="O146" s="40">
        <v>0.92435328627971769</v>
      </c>
    </row>
    <row r="147" spans="1:15">
      <c r="A147" s="39">
        <v>1</v>
      </c>
      <c r="B147" s="39">
        <v>1965</v>
      </c>
      <c r="C147" s="39">
        <v>5</v>
      </c>
      <c r="D147" s="39">
        <v>60</v>
      </c>
      <c r="E147" s="39">
        <v>5</v>
      </c>
      <c r="F147" s="40">
        <v>2.2961888477430702E-2</v>
      </c>
      <c r="G147" s="40">
        <v>0.10884702967868207</v>
      </c>
      <c r="H147" s="41">
        <v>66545.246016295117</v>
      </c>
      <c r="I147" s="41">
        <v>7243.2523681108723</v>
      </c>
      <c r="J147" s="41">
        <v>315446.71838426031</v>
      </c>
      <c r="K147" s="40">
        <v>0.86713432402488544</v>
      </c>
      <c r="L147" s="41">
        <v>1332945.9823420323</v>
      </c>
      <c r="M147" s="42">
        <v>20.030671793077904</v>
      </c>
      <c r="N147" s="43">
        <v>2.6143987784700089</v>
      </c>
      <c r="O147" s="40">
        <v>0.89115297032131791</v>
      </c>
    </row>
    <row r="148" spans="1:15">
      <c r="A148" s="39">
        <v>1</v>
      </c>
      <c r="B148" s="39">
        <v>1965</v>
      </c>
      <c r="C148" s="39">
        <v>5</v>
      </c>
      <c r="D148" s="39">
        <v>65</v>
      </c>
      <c r="E148" s="39">
        <v>5</v>
      </c>
      <c r="F148" s="40">
        <v>3.4206114776108389E-2</v>
      </c>
      <c r="G148" s="40">
        <v>0.15777814501830359</v>
      </c>
      <c r="H148" s="41">
        <v>59301.993648184245</v>
      </c>
      <c r="I148" s="41">
        <v>9356.5585536977305</v>
      </c>
      <c r="J148" s="41">
        <v>273534.67691200395</v>
      </c>
      <c r="K148" s="40">
        <v>0.830830051544306</v>
      </c>
      <c r="L148" s="41">
        <v>1017499.2639577719</v>
      </c>
      <c r="M148" s="42">
        <v>17.157926763713895</v>
      </c>
      <c r="N148" s="43">
        <v>2.5444720195934236</v>
      </c>
      <c r="O148" s="40">
        <v>0.84222185498169644</v>
      </c>
    </row>
    <row r="149" spans="1:15">
      <c r="A149" s="39">
        <v>1</v>
      </c>
      <c r="B149" s="39">
        <v>1965</v>
      </c>
      <c r="C149" s="39">
        <v>5</v>
      </c>
      <c r="D149" s="39">
        <v>70</v>
      </c>
      <c r="E149" s="39">
        <v>5</v>
      </c>
      <c r="F149" s="40">
        <v>4.0019332931471779E-2</v>
      </c>
      <c r="G149" s="40">
        <v>0.18209525634444518</v>
      </c>
      <c r="H149" s="41">
        <v>49945.435094486515</v>
      </c>
      <c r="I149" s="41">
        <v>9094.8268067653698</v>
      </c>
      <c r="J149" s="41">
        <v>227260.82971795532</v>
      </c>
      <c r="K149" s="40">
        <v>0.78250167512024582</v>
      </c>
      <c r="L149" s="41">
        <v>743964.58704576793</v>
      </c>
      <c r="M149" s="42">
        <v>14.895547223451745</v>
      </c>
      <c r="N149" s="43">
        <v>2.5297665110274341</v>
      </c>
      <c r="O149" s="40">
        <v>0.81790474365555488</v>
      </c>
    </row>
    <row r="150" spans="1:15">
      <c r="A150" s="39">
        <v>1</v>
      </c>
      <c r="B150" s="39">
        <v>1965</v>
      </c>
      <c r="C150" s="39">
        <v>5</v>
      </c>
      <c r="D150" s="39">
        <v>75</v>
      </c>
      <c r="E150" s="39">
        <v>5</v>
      </c>
      <c r="F150" s="40">
        <v>5.8878559255559737E-2</v>
      </c>
      <c r="G150" s="40">
        <v>0.25631174681394131</v>
      </c>
      <c r="H150" s="41">
        <v>40850.608287721145</v>
      </c>
      <c r="I150" s="41">
        <v>10470.490768637872</v>
      </c>
      <c r="J150" s="41">
        <v>177831.97994351698</v>
      </c>
      <c r="K150" s="40">
        <v>0.73217229151378493</v>
      </c>
      <c r="L150" s="41">
        <v>516703.75732781261</v>
      </c>
      <c r="M150" s="42">
        <v>12.648618441334769</v>
      </c>
      <c r="N150" s="43">
        <v>2.4766167050901355</v>
      </c>
      <c r="O150" s="40">
        <v>0.74368825318605869</v>
      </c>
    </row>
    <row r="151" spans="1:15">
      <c r="A151" s="39">
        <v>1</v>
      </c>
      <c r="B151" s="39">
        <v>1965</v>
      </c>
      <c r="C151" s="39">
        <v>5</v>
      </c>
      <c r="D151" s="39">
        <v>80</v>
      </c>
      <c r="E151" s="39">
        <v>5</v>
      </c>
      <c r="F151" s="40">
        <v>6.4451205757392147E-2</v>
      </c>
      <c r="G151" s="40">
        <v>0.27622612450647505</v>
      </c>
      <c r="H151" s="41">
        <v>30380.117519083273</v>
      </c>
      <c r="I151" s="41">
        <v>8391.7821243476428</v>
      </c>
      <c r="J151" s="41">
        <v>130203.64825967827</v>
      </c>
      <c r="K151" s="40">
        <v>0.70869841363257502</v>
      </c>
      <c r="L151" s="41">
        <v>338871.77738429565</v>
      </c>
      <c r="M151" s="42">
        <v>11.154393236676366</v>
      </c>
      <c r="N151" s="43">
        <v>2.4145015904562999</v>
      </c>
      <c r="O151" s="40">
        <v>0.72377387549352501</v>
      </c>
    </row>
    <row r="152" spans="1:15">
      <c r="A152" s="39">
        <v>1</v>
      </c>
      <c r="B152" s="39">
        <v>1965</v>
      </c>
      <c r="C152" s="39">
        <v>5</v>
      </c>
      <c r="D152" s="39">
        <v>85</v>
      </c>
      <c r="E152" s="39">
        <v>5</v>
      </c>
      <c r="F152" s="40">
        <v>7.4410472900205415E-2</v>
      </c>
      <c r="G152" s="40">
        <v>0.31226716876368971</v>
      </c>
      <c r="H152" s="41">
        <v>21988.33539473563</v>
      </c>
      <c r="I152" s="41">
        <v>6866.2352395405214</v>
      </c>
      <c r="J152" s="41">
        <v>92275.118970807773</v>
      </c>
      <c r="K152" s="40">
        <v>0.65770410515606181</v>
      </c>
      <c r="L152" s="41">
        <v>208668.12912461738</v>
      </c>
      <c r="M152" s="42">
        <v>9.4899466184500696</v>
      </c>
      <c r="N152" s="43">
        <v>2.4270386337575292</v>
      </c>
      <c r="O152" s="40">
        <v>0.68773283123631024</v>
      </c>
    </row>
    <row r="153" spans="1:15">
      <c r="A153" s="39">
        <v>1</v>
      </c>
      <c r="B153" s="39">
        <v>1965</v>
      </c>
      <c r="C153" s="39">
        <v>5</v>
      </c>
      <c r="D153" s="39">
        <v>90</v>
      </c>
      <c r="E153" s="39">
        <v>5</v>
      </c>
      <c r="F153" s="40">
        <v>9.5564232083602568E-2</v>
      </c>
      <c r="G153" s="40">
        <v>0.38352919651019701</v>
      </c>
      <c r="H153" s="41">
        <v>15122.100155195109</v>
      </c>
      <c r="I153" s="41">
        <v>5799.7669220687058</v>
      </c>
      <c r="J153" s="41">
        <v>60689.724550864266</v>
      </c>
      <c r="K153" s="40">
        <v>0.56605108099635526</v>
      </c>
      <c r="L153" s="41">
        <v>116393.01015380962</v>
      </c>
      <c r="M153" s="42">
        <v>7.6968813167014689</v>
      </c>
      <c r="N153" s="43">
        <v>2.4273489908126833</v>
      </c>
      <c r="O153" s="40">
        <v>0.61647080348980299</v>
      </c>
    </row>
    <row r="154" spans="1:15">
      <c r="A154" s="39">
        <v>1</v>
      </c>
      <c r="B154" s="39">
        <v>1965</v>
      </c>
      <c r="C154" s="39">
        <v>5</v>
      </c>
      <c r="D154" s="39">
        <v>95</v>
      </c>
      <c r="E154" s="39">
        <v>5</v>
      </c>
      <c r="F154" s="40">
        <v>0.13652587723314827</v>
      </c>
      <c r="G154" s="40">
        <v>0.50310790736722921</v>
      </c>
      <c r="H154" s="41">
        <v>9322.3332331264028</v>
      </c>
      <c r="I154" s="41">
        <v>4690.1395646982</v>
      </c>
      <c r="J154" s="41">
        <v>34353.484187387759</v>
      </c>
      <c r="K154" s="40">
        <v>0.38327723732024715</v>
      </c>
      <c r="L154" s="41">
        <v>55703.285602945354</v>
      </c>
      <c r="M154" s="42">
        <v>5.9752514965895838</v>
      </c>
      <c r="N154" s="43">
        <v>2.3863929187716946</v>
      </c>
      <c r="O154" s="40">
        <v>0.49689209263277079</v>
      </c>
    </row>
    <row r="155" spans="1:15">
      <c r="A155" s="39">
        <v>1</v>
      </c>
      <c r="B155" s="39">
        <v>1965</v>
      </c>
      <c r="C155" s="39">
        <v>5</v>
      </c>
      <c r="D155" s="39">
        <v>100</v>
      </c>
      <c r="E155" s="39">
        <v>0</v>
      </c>
      <c r="F155" s="40">
        <v>0.21696659272215643</v>
      </c>
      <c r="G155" s="40">
        <v>1</v>
      </c>
      <c r="H155" s="41">
        <v>4632.1936684282027</v>
      </c>
      <c r="I155" s="41">
        <v>4632.1936684282027</v>
      </c>
      <c r="J155" s="41">
        <v>21349.801415557591</v>
      </c>
      <c r="K155" s="40">
        <v>0</v>
      </c>
      <c r="L155" s="41">
        <v>21349.801415557591</v>
      </c>
      <c r="M155" s="42">
        <v>4.609004489832139</v>
      </c>
      <c r="N155" s="43">
        <v>4.609004489832139</v>
      </c>
      <c r="O155" s="40">
        <v>0</v>
      </c>
    </row>
    <row r="156" spans="1:15">
      <c r="A156" s="44">
        <v>2</v>
      </c>
      <c r="B156" s="44">
        <v>1965</v>
      </c>
      <c r="C156" s="44">
        <v>5</v>
      </c>
      <c r="D156" s="44">
        <v>0</v>
      </c>
      <c r="E156" s="44">
        <v>1</v>
      </c>
      <c r="F156" s="45">
        <v>8.2429508063770002E-2</v>
      </c>
      <c r="G156" s="45">
        <v>7.7834487048084405E-2</v>
      </c>
      <c r="H156" s="46">
        <v>100000</v>
      </c>
      <c r="I156" s="46">
        <v>7783.4487048084411</v>
      </c>
      <c r="J156" s="46">
        <v>94425.514450321862</v>
      </c>
      <c r="K156" s="45">
        <v>0.91742068419572331</v>
      </c>
      <c r="L156" s="46">
        <v>6963871.624670743</v>
      </c>
      <c r="M156" s="47">
        <v>69.638716246707432</v>
      </c>
      <c r="N156" s="48">
        <v>0.28380262257855599</v>
      </c>
      <c r="O156" s="45">
        <v>0.92216551295191562</v>
      </c>
    </row>
    <row r="157" spans="1:15">
      <c r="A157" s="44">
        <v>2</v>
      </c>
      <c r="B157" s="44">
        <v>1965</v>
      </c>
      <c r="C157" s="44">
        <v>5</v>
      </c>
      <c r="D157" s="44">
        <v>1</v>
      </c>
      <c r="E157" s="44">
        <v>4</v>
      </c>
      <c r="F157" s="45">
        <v>4.8312496065261289E-3</v>
      </c>
      <c r="G157" s="45">
        <v>1.9084978840749285E-2</v>
      </c>
      <c r="H157" s="46">
        <v>92216.551295191559</v>
      </c>
      <c r="I157" s="46">
        <v>1759.9509302356018</v>
      </c>
      <c r="J157" s="46">
        <v>364284.82764753973</v>
      </c>
      <c r="K157" s="45">
        <v>0.9843690129545718</v>
      </c>
      <c r="L157" s="46">
        <v>6869446.1102204211</v>
      </c>
      <c r="M157" s="47">
        <v>74.492550564278304</v>
      </c>
      <c r="N157" s="48">
        <v>1.3968720067591971</v>
      </c>
      <c r="O157" s="45">
        <v>0.98091502115925067</v>
      </c>
    </row>
    <row r="158" spans="1:15">
      <c r="A158" s="44">
        <v>2</v>
      </c>
      <c r="B158" s="44">
        <v>1965</v>
      </c>
      <c r="C158" s="44">
        <v>5</v>
      </c>
      <c r="D158" s="44">
        <v>5</v>
      </c>
      <c r="E158" s="44">
        <v>5</v>
      </c>
      <c r="F158" s="45">
        <v>6.5797469643974103E-4</v>
      </c>
      <c r="G158" s="45">
        <v>3.2844707356106334E-3</v>
      </c>
      <c r="H158" s="46">
        <v>90456.600364955957</v>
      </c>
      <c r="I158" s="46">
        <v>297.1020567415253</v>
      </c>
      <c r="J158" s="46">
        <v>451540.24668292596</v>
      </c>
      <c r="K158" s="45">
        <v>0.99703157139060894</v>
      </c>
      <c r="L158" s="46">
        <v>6505161.2825728813</v>
      </c>
      <c r="M158" s="47">
        <v>71.914722157666489</v>
      </c>
      <c r="N158" s="48">
        <v>2.5</v>
      </c>
      <c r="O158" s="45">
        <v>0.99671552926438933</v>
      </c>
    </row>
    <row r="159" spans="1:15">
      <c r="A159" s="44">
        <v>2</v>
      </c>
      <c r="B159" s="44">
        <v>1965</v>
      </c>
      <c r="C159" s="44">
        <v>5</v>
      </c>
      <c r="D159" s="44">
        <v>10</v>
      </c>
      <c r="E159" s="44">
        <v>5</v>
      </c>
      <c r="F159" s="45">
        <v>5.3097290247118545E-4</v>
      </c>
      <c r="G159" s="45">
        <v>2.6513450314389381E-3</v>
      </c>
      <c r="H159" s="46">
        <v>90159.498308214432</v>
      </c>
      <c r="I159" s="46">
        <v>239.04393787651497</v>
      </c>
      <c r="J159" s="46">
        <v>450199.88169638085</v>
      </c>
      <c r="K159" s="45">
        <v>0.99670416702278608</v>
      </c>
      <c r="L159" s="46">
        <v>6053621.0358899552</v>
      </c>
      <c r="M159" s="47">
        <v>67.143464077355119</v>
      </c>
      <c r="N159" s="48">
        <v>2.5</v>
      </c>
      <c r="O159" s="45">
        <v>0.99734865496856107</v>
      </c>
    </row>
    <row r="160" spans="1:15">
      <c r="A160" s="44">
        <v>2</v>
      </c>
      <c r="B160" s="44">
        <v>1965</v>
      </c>
      <c r="C160" s="44">
        <v>5</v>
      </c>
      <c r="D160" s="44">
        <v>15</v>
      </c>
      <c r="E160" s="44">
        <v>5</v>
      </c>
      <c r="F160" s="45">
        <v>8.3673516958939734E-4</v>
      </c>
      <c r="G160" s="45">
        <v>4.175429751256573E-3</v>
      </c>
      <c r="H160" s="46">
        <v>89920.454370337917</v>
      </c>
      <c r="I160" s="46">
        <v>375.45654042442038</v>
      </c>
      <c r="J160" s="46">
        <v>448716.0980799481</v>
      </c>
      <c r="K160" s="45">
        <v>0.99529251915607431</v>
      </c>
      <c r="L160" s="46">
        <v>5603421.1541935746</v>
      </c>
      <c r="M160" s="47">
        <v>62.315311832342971</v>
      </c>
      <c r="N160" s="48">
        <v>2.6397434154703241</v>
      </c>
      <c r="O160" s="45">
        <v>0.99582457024874338</v>
      </c>
    </row>
    <row r="161" spans="1:15">
      <c r="A161" s="44">
        <v>2</v>
      </c>
      <c r="B161" s="44">
        <v>1965</v>
      </c>
      <c r="C161" s="44">
        <v>5</v>
      </c>
      <c r="D161" s="44">
        <v>20</v>
      </c>
      <c r="E161" s="44">
        <v>5</v>
      </c>
      <c r="F161" s="45">
        <v>1.0471701763465596E-3</v>
      </c>
      <c r="G161" s="45">
        <v>5.2227390231931658E-3</v>
      </c>
      <c r="H161" s="46">
        <v>89544.997829913496</v>
      </c>
      <c r="I161" s="46">
        <v>467.67015449803148</v>
      </c>
      <c r="J161" s="46">
        <v>446603.77564387565</v>
      </c>
      <c r="K161" s="45">
        <v>0.99399748710617486</v>
      </c>
      <c r="L161" s="46">
        <v>5154705.0561136268</v>
      </c>
      <c r="M161" s="47">
        <v>57.565527735058367</v>
      </c>
      <c r="N161" s="48">
        <v>2.6025549312735556</v>
      </c>
      <c r="O161" s="45">
        <v>0.99477726097680685</v>
      </c>
    </row>
    <row r="162" spans="1:15">
      <c r="A162" s="44">
        <v>2</v>
      </c>
      <c r="B162" s="44">
        <v>1965</v>
      </c>
      <c r="C162" s="44">
        <v>5</v>
      </c>
      <c r="D162" s="44">
        <v>25</v>
      </c>
      <c r="E162" s="44">
        <v>5</v>
      </c>
      <c r="F162" s="45">
        <v>1.3833218011251654E-3</v>
      </c>
      <c r="G162" s="45">
        <v>6.8938799854564893E-3</v>
      </c>
      <c r="H162" s="46">
        <v>89077.327675415465</v>
      </c>
      <c r="I162" s="46">
        <v>614.08840641949791</v>
      </c>
      <c r="J162" s="46">
        <v>443923.03072214231</v>
      </c>
      <c r="K162" s="45">
        <v>0.99203067593291305</v>
      </c>
      <c r="L162" s="46">
        <v>4708101.280469751</v>
      </c>
      <c r="M162" s="47">
        <v>52.854092094291062</v>
      </c>
      <c r="N162" s="48">
        <v>2.6166173475433414</v>
      </c>
      <c r="O162" s="45">
        <v>0.99310612001454346</v>
      </c>
    </row>
    <row r="163" spans="1:15">
      <c r="A163" s="44">
        <v>2</v>
      </c>
      <c r="B163" s="44">
        <v>1965</v>
      </c>
      <c r="C163" s="44">
        <v>5</v>
      </c>
      <c r="D163" s="44">
        <v>30</v>
      </c>
      <c r="E163" s="44">
        <v>5</v>
      </c>
      <c r="F163" s="45">
        <v>1.8583480389864474E-3</v>
      </c>
      <c r="G163" s="45">
        <v>9.2511770871383375E-3</v>
      </c>
      <c r="H163" s="46">
        <v>88463.239268995967</v>
      </c>
      <c r="I163" s="46">
        <v>818.38909217937908</v>
      </c>
      <c r="J163" s="46">
        <v>440385.26422947418</v>
      </c>
      <c r="K163" s="45">
        <v>0.98863875202169305</v>
      </c>
      <c r="L163" s="46">
        <v>4264178.2497476088</v>
      </c>
      <c r="M163" s="47">
        <v>48.202827355001581</v>
      </c>
      <c r="N163" s="48">
        <v>2.6405695848614346</v>
      </c>
      <c r="O163" s="45">
        <v>0.9907488229128617</v>
      </c>
    </row>
    <row r="164" spans="1:15">
      <c r="A164" s="44">
        <v>2</v>
      </c>
      <c r="B164" s="44">
        <v>1965</v>
      </c>
      <c r="C164" s="44">
        <v>5</v>
      </c>
      <c r="D164" s="44">
        <v>35</v>
      </c>
      <c r="E164" s="44">
        <v>5</v>
      </c>
      <c r="F164" s="45">
        <v>2.7671148216031317E-3</v>
      </c>
      <c r="G164" s="45">
        <v>1.374583687882174E-2</v>
      </c>
      <c r="H164" s="46">
        <v>87644.850176816588</v>
      </c>
      <c r="I164" s="46">
        <v>1204.7518137992884</v>
      </c>
      <c r="J164" s="46">
        <v>435381.93803657091</v>
      </c>
      <c r="K164" s="45">
        <v>0.98380578998736234</v>
      </c>
      <c r="L164" s="46">
        <v>3823792.9855181342</v>
      </c>
      <c r="M164" s="47">
        <v>43.628267694039444</v>
      </c>
      <c r="N164" s="48">
        <v>2.6407482313319459</v>
      </c>
      <c r="O164" s="45">
        <v>0.98625416312117831</v>
      </c>
    </row>
    <row r="165" spans="1:15">
      <c r="A165" s="44">
        <v>2</v>
      </c>
      <c r="B165" s="44">
        <v>1965</v>
      </c>
      <c r="C165" s="44">
        <v>5</v>
      </c>
      <c r="D165" s="44">
        <v>40</v>
      </c>
      <c r="E165" s="44">
        <v>5</v>
      </c>
      <c r="F165" s="45">
        <v>3.7544830299021002E-3</v>
      </c>
      <c r="G165" s="45">
        <v>1.8604357473721678E-2</v>
      </c>
      <c r="H165" s="46">
        <v>86440.0983630173</v>
      </c>
      <c r="I165" s="46">
        <v>1608.1624900092283</v>
      </c>
      <c r="J165" s="46">
        <v>428331.2714962975</v>
      </c>
      <c r="K165" s="45">
        <v>0.97976263496319638</v>
      </c>
      <c r="L165" s="46">
        <v>3388411.0474815634</v>
      </c>
      <c r="M165" s="47">
        <v>39.199527900251297</v>
      </c>
      <c r="N165" s="48">
        <v>2.5940115860016064</v>
      </c>
      <c r="O165" s="45">
        <v>0.98139564252627831</v>
      </c>
    </row>
    <row r="166" spans="1:15">
      <c r="A166" s="44">
        <v>2</v>
      </c>
      <c r="B166" s="44">
        <v>1965</v>
      </c>
      <c r="C166" s="44">
        <v>5</v>
      </c>
      <c r="D166" s="44">
        <v>45</v>
      </c>
      <c r="E166" s="44">
        <v>5</v>
      </c>
      <c r="F166" s="45">
        <v>4.5113914879224472E-3</v>
      </c>
      <c r="G166" s="45">
        <v>2.2317821167493132E-2</v>
      </c>
      <c r="H166" s="46">
        <v>84831.935873008071</v>
      </c>
      <c r="I166" s="46">
        <v>1893.2639741060411</v>
      </c>
      <c r="J166" s="46">
        <v>419662.97519834869</v>
      </c>
      <c r="K166" s="45">
        <v>0.97171390395323398</v>
      </c>
      <c r="L166" s="46">
        <v>2960079.7759852661</v>
      </c>
      <c r="M166" s="47">
        <v>34.89346017538081</v>
      </c>
      <c r="N166" s="48">
        <v>2.6248931854233959</v>
      </c>
      <c r="O166" s="45">
        <v>0.97768217883250685</v>
      </c>
    </row>
    <row r="167" spans="1:15">
      <c r="A167" s="44">
        <v>2</v>
      </c>
      <c r="B167" s="44">
        <v>1965</v>
      </c>
      <c r="C167" s="44">
        <v>5</v>
      </c>
      <c r="D167" s="44">
        <v>50</v>
      </c>
      <c r="E167" s="44">
        <v>5</v>
      </c>
      <c r="F167" s="45">
        <v>7.1531427495345979E-3</v>
      </c>
      <c r="G167" s="45">
        <v>3.5170527938836391E-2</v>
      </c>
      <c r="H167" s="46">
        <v>82938.67189890203</v>
      </c>
      <c r="I167" s="46">
        <v>2916.9968772303109</v>
      </c>
      <c r="J167" s="46">
        <v>407792.34797461663</v>
      </c>
      <c r="K167" s="45">
        <v>0.96015742264631776</v>
      </c>
      <c r="L167" s="46">
        <v>2540416.8007869176</v>
      </c>
      <c r="M167" s="47">
        <v>30.630063667809328</v>
      </c>
      <c r="N167" s="48">
        <v>2.6342067508670031</v>
      </c>
      <c r="O167" s="45">
        <v>0.96482947206116365</v>
      </c>
    </row>
    <row r="168" spans="1:15">
      <c r="A168" s="44">
        <v>2</v>
      </c>
      <c r="B168" s="44">
        <v>1965</v>
      </c>
      <c r="C168" s="44">
        <v>5</v>
      </c>
      <c r="D168" s="44">
        <v>55</v>
      </c>
      <c r="E168" s="44">
        <v>5</v>
      </c>
      <c r="F168" s="45">
        <v>9.2288040815648887E-3</v>
      </c>
      <c r="G168" s="45">
        <v>4.5156399275927891E-2</v>
      </c>
      <c r="H168" s="46">
        <v>80021.675021671719</v>
      </c>
      <c r="I168" s="46">
        <v>3613.4907080071571</v>
      </c>
      <c r="J168" s="46">
        <v>391544.84980619827</v>
      </c>
      <c r="K168" s="45">
        <v>0.94339599665738194</v>
      </c>
      <c r="L168" s="46">
        <v>2132624.452812301</v>
      </c>
      <c r="M168" s="47">
        <v>26.650585010058048</v>
      </c>
      <c r="N168" s="48">
        <v>2.6301238901253154</v>
      </c>
      <c r="O168" s="45">
        <v>0.95484360072407215</v>
      </c>
    </row>
    <row r="169" spans="1:15">
      <c r="A169" s="44">
        <v>2</v>
      </c>
      <c r="B169" s="44">
        <v>1965</v>
      </c>
      <c r="C169" s="44">
        <v>5</v>
      </c>
      <c r="D169" s="44">
        <v>60</v>
      </c>
      <c r="E169" s="44">
        <v>5</v>
      </c>
      <c r="F169" s="45">
        <v>1.4649914788195825E-2</v>
      </c>
      <c r="G169" s="45">
        <v>7.0822420200960162E-2</v>
      </c>
      <c r="H169" s="46">
        <v>76408.184313664562</v>
      </c>
      <c r="I169" s="46">
        <v>5411.4125362547638</v>
      </c>
      <c r="J169" s="46">
        <v>369381.84381898335</v>
      </c>
      <c r="K169" s="45">
        <v>0.91055882040460923</v>
      </c>
      <c r="L169" s="46">
        <v>1741079.6030061028</v>
      </c>
      <c r="M169" s="47">
        <v>22.7865590400469</v>
      </c>
      <c r="N169" s="48">
        <v>2.6606703583347904</v>
      </c>
      <c r="O169" s="45">
        <v>0.92917757979903981</v>
      </c>
    </row>
    <row r="170" spans="1:15">
      <c r="A170" s="44">
        <v>2</v>
      </c>
      <c r="B170" s="44">
        <v>1965</v>
      </c>
      <c r="C170" s="44">
        <v>5</v>
      </c>
      <c r="D170" s="44">
        <v>65</v>
      </c>
      <c r="E170" s="44">
        <v>5</v>
      </c>
      <c r="F170" s="45">
        <v>2.3104937502420091E-2</v>
      </c>
      <c r="G170" s="45">
        <v>0.10945856412256928</v>
      </c>
      <c r="H170" s="46">
        <v>70996.771777409798</v>
      </c>
      <c r="I170" s="46">
        <v>7771.2046960930311</v>
      </c>
      <c r="J170" s="46">
        <v>336343.8959866931</v>
      </c>
      <c r="K170" s="45">
        <v>0.87692900669376572</v>
      </c>
      <c r="L170" s="46">
        <v>1371697.7591871195</v>
      </c>
      <c r="M170" s="47">
        <v>19.320565215101443</v>
      </c>
      <c r="N170" s="48">
        <v>2.6014062646262368</v>
      </c>
      <c r="O170" s="45">
        <v>0.89054143587743073</v>
      </c>
    </row>
    <row r="171" spans="1:15">
      <c r="A171" s="44">
        <v>2</v>
      </c>
      <c r="B171" s="44">
        <v>1965</v>
      </c>
      <c r="C171" s="44">
        <v>5</v>
      </c>
      <c r="D171" s="44">
        <v>70</v>
      </c>
      <c r="E171" s="44">
        <v>5</v>
      </c>
      <c r="F171" s="45">
        <v>3.0031113598382089E-2</v>
      </c>
      <c r="G171" s="45">
        <v>0.14009630778240997</v>
      </c>
      <c r="H171" s="46">
        <v>63225.567081316767</v>
      </c>
      <c r="I171" s="46">
        <v>8857.6685055415583</v>
      </c>
      <c r="J171" s="46">
        <v>294949.71861512202</v>
      </c>
      <c r="K171" s="45">
        <v>0.81539649785020751</v>
      </c>
      <c r="L171" s="46">
        <v>1035353.8632004266</v>
      </c>
      <c r="M171" s="47">
        <v>16.375556772291489</v>
      </c>
      <c r="N171" s="48">
        <v>2.609064193561514</v>
      </c>
      <c r="O171" s="45">
        <v>0.85990369221759</v>
      </c>
    </row>
    <row r="172" spans="1:15">
      <c r="A172" s="44">
        <v>2</v>
      </c>
      <c r="B172" s="44">
        <v>1965</v>
      </c>
      <c r="C172" s="44">
        <v>5</v>
      </c>
      <c r="D172" s="44">
        <v>75</v>
      </c>
      <c r="E172" s="44">
        <v>5</v>
      </c>
      <c r="F172" s="45">
        <v>5.2660497659996378E-2</v>
      </c>
      <c r="G172" s="45">
        <v>0.23294813618574017</v>
      </c>
      <c r="H172" s="46">
        <v>54367.898575775209</v>
      </c>
      <c r="I172" s="46">
        <v>12664.900641562192</v>
      </c>
      <c r="J172" s="46">
        <v>240500.96760067466</v>
      </c>
      <c r="K172" s="45">
        <v>0.75534740858497962</v>
      </c>
      <c r="L172" s="46">
        <v>740404.14458530454</v>
      </c>
      <c r="M172" s="47">
        <v>13.618406522616779</v>
      </c>
      <c r="N172" s="48">
        <v>2.5255609052819361</v>
      </c>
      <c r="O172" s="45">
        <v>0.76705186381425983</v>
      </c>
    </row>
    <row r="173" spans="1:15">
      <c r="A173" s="44">
        <v>2</v>
      </c>
      <c r="B173" s="44">
        <v>1965</v>
      </c>
      <c r="C173" s="44">
        <v>5</v>
      </c>
      <c r="D173" s="44">
        <v>80</v>
      </c>
      <c r="E173" s="44">
        <v>5</v>
      </c>
      <c r="F173" s="45">
        <v>5.7485416303189318E-2</v>
      </c>
      <c r="G173" s="45">
        <v>0.25041133056851972</v>
      </c>
      <c r="H173" s="46">
        <v>41702.997934213017</v>
      </c>
      <c r="I173" s="46">
        <v>10442.903201402511</v>
      </c>
      <c r="J173" s="46">
        <v>181661.78263934975</v>
      </c>
      <c r="K173" s="45">
        <v>0.73559688255758426</v>
      </c>
      <c r="L173" s="46">
        <v>499903.17698462988</v>
      </c>
      <c r="M173" s="47">
        <v>11.987223982631493</v>
      </c>
      <c r="N173" s="48">
        <v>2.4285688075602496</v>
      </c>
      <c r="O173" s="45">
        <v>0.74958866943148028</v>
      </c>
    </row>
    <row r="174" spans="1:15">
      <c r="A174" s="44">
        <v>2</v>
      </c>
      <c r="B174" s="44">
        <v>1965</v>
      </c>
      <c r="C174" s="44">
        <v>5</v>
      </c>
      <c r="D174" s="44">
        <v>85</v>
      </c>
      <c r="E174" s="44">
        <v>5</v>
      </c>
      <c r="F174" s="45">
        <v>6.6410159133736782E-2</v>
      </c>
      <c r="G174" s="45">
        <v>0.2838884232748265</v>
      </c>
      <c r="H174" s="46">
        <v>31260.094732810507</v>
      </c>
      <c r="I174" s="46">
        <v>8874.3790051192846</v>
      </c>
      <c r="J174" s="46">
        <v>133629.84098935916</v>
      </c>
      <c r="K174" s="45">
        <v>0.68715455011825499</v>
      </c>
      <c r="L174" s="46">
        <v>318241.39434528013</v>
      </c>
      <c r="M174" s="47">
        <v>10.180436018041073</v>
      </c>
      <c r="N174" s="48">
        <v>2.4453837658256914</v>
      </c>
      <c r="O174" s="45">
        <v>0.71611157672517356</v>
      </c>
    </row>
    <row r="175" spans="1:15">
      <c r="A175" s="44">
        <v>2</v>
      </c>
      <c r="B175" s="44">
        <v>1965</v>
      </c>
      <c r="C175" s="44">
        <v>5</v>
      </c>
      <c r="D175" s="44">
        <v>90</v>
      </c>
      <c r="E175" s="44">
        <v>5</v>
      </c>
      <c r="F175" s="45">
        <v>8.5925011229447817E-2</v>
      </c>
      <c r="G175" s="45">
        <v>0.35245728488723815</v>
      </c>
      <c r="H175" s="46">
        <v>22385.715727691222</v>
      </c>
      <c r="I175" s="46">
        <v>7890.0085856395945</v>
      </c>
      <c r="J175" s="46">
        <v>91824.353267417042</v>
      </c>
      <c r="K175" s="45">
        <v>0.59733546922237446</v>
      </c>
      <c r="L175" s="46">
        <v>184611.55335592097</v>
      </c>
      <c r="M175" s="47">
        <v>8.2468461407090832</v>
      </c>
      <c r="N175" s="48">
        <v>2.4519387206206256</v>
      </c>
      <c r="O175" s="45">
        <v>0.64754271511276185</v>
      </c>
    </row>
    <row r="176" spans="1:15">
      <c r="A176" s="44">
        <v>2</v>
      </c>
      <c r="B176" s="44">
        <v>1965</v>
      </c>
      <c r="C176" s="44">
        <v>5</v>
      </c>
      <c r="D176" s="44">
        <v>95</v>
      </c>
      <c r="E176" s="44">
        <v>5</v>
      </c>
      <c r="F176" s="45">
        <v>0.12451248787042764</v>
      </c>
      <c r="G176" s="45">
        <v>0.47113968388113026</v>
      </c>
      <c r="H176" s="46">
        <v>14495.707142051628</v>
      </c>
      <c r="I176" s="46">
        <v>6829.502880539646</v>
      </c>
      <c r="J176" s="46">
        <v>54849.943145033634</v>
      </c>
      <c r="K176" s="45">
        <v>0.40886304261023404</v>
      </c>
      <c r="L176" s="46">
        <v>92787.200088503931</v>
      </c>
      <c r="M176" s="47">
        <v>6.4010123258720473</v>
      </c>
      <c r="N176" s="48">
        <v>2.41875904094625</v>
      </c>
      <c r="O176" s="45">
        <v>0.52886031611886974</v>
      </c>
    </row>
    <row r="177" spans="1:15">
      <c r="A177" s="44">
        <v>2</v>
      </c>
      <c r="B177" s="44">
        <v>1965</v>
      </c>
      <c r="C177" s="44">
        <v>5</v>
      </c>
      <c r="D177" s="44">
        <v>100</v>
      </c>
      <c r="E177" s="44">
        <v>0</v>
      </c>
      <c r="F177" s="45">
        <v>0.20207587156170176</v>
      </c>
      <c r="G177" s="45">
        <v>1</v>
      </c>
      <c r="H177" s="46">
        <v>7666.2042615119817</v>
      </c>
      <c r="I177" s="46">
        <v>7666.2042615119817</v>
      </c>
      <c r="J177" s="46">
        <v>37937.256943470296</v>
      </c>
      <c r="K177" s="45">
        <v>0</v>
      </c>
      <c r="L177" s="46">
        <v>37937.256943470296</v>
      </c>
      <c r="M177" s="47">
        <v>4.9486363328372951</v>
      </c>
      <c r="N177" s="48">
        <v>4.9486363328372951</v>
      </c>
      <c r="O177" s="45">
        <v>0</v>
      </c>
    </row>
    <row r="178" spans="1:15">
      <c r="A178" s="39">
        <v>1</v>
      </c>
      <c r="B178" s="39">
        <v>1970</v>
      </c>
      <c r="C178" s="39">
        <v>5</v>
      </c>
      <c r="D178" s="39">
        <v>0</v>
      </c>
      <c r="E178" s="39">
        <v>1</v>
      </c>
      <c r="F178" s="40">
        <v>7.37114111482646E-2</v>
      </c>
      <c r="G178" s="40">
        <v>6.9814952971142777E-2</v>
      </c>
      <c r="H178" s="41">
        <v>100000</v>
      </c>
      <c r="I178" s="41">
        <v>6981.4952971142775</v>
      </c>
      <c r="J178" s="41">
        <v>94713.900987074681</v>
      </c>
      <c r="K178" s="40">
        <v>0.92717650103882332</v>
      </c>
      <c r="L178" s="41">
        <v>6567667.6397400061</v>
      </c>
      <c r="M178" s="42">
        <v>65.676676397400058</v>
      </c>
      <c r="N178" s="43">
        <v>0.24284142752194218</v>
      </c>
      <c r="O178" s="40">
        <v>0.93018504702885718</v>
      </c>
    </row>
    <row r="179" spans="1:15">
      <c r="A179" s="39">
        <v>1</v>
      </c>
      <c r="B179" s="39">
        <v>1970</v>
      </c>
      <c r="C179" s="39">
        <v>5</v>
      </c>
      <c r="D179" s="39">
        <v>1</v>
      </c>
      <c r="E179" s="39">
        <v>4</v>
      </c>
      <c r="F179" s="40">
        <v>3.3928817202396578E-3</v>
      </c>
      <c r="G179" s="40">
        <v>1.3454817851471465E-2</v>
      </c>
      <c r="H179" s="41">
        <v>93018.504702885723</v>
      </c>
      <c r="I179" s="41">
        <v>1251.5470375935693</v>
      </c>
      <c r="J179" s="41">
        <v>368874.34953233699</v>
      </c>
      <c r="K179" s="40">
        <v>0.98782355882345474</v>
      </c>
      <c r="L179" s="41">
        <v>6472953.7387529314</v>
      </c>
      <c r="M179" s="42">
        <v>69.587806850136559</v>
      </c>
      <c r="N179" s="43">
        <v>1.443428666206487</v>
      </c>
      <c r="O179" s="40">
        <v>0.98654518214852849</v>
      </c>
    </row>
    <row r="180" spans="1:15">
      <c r="A180" s="39">
        <v>1</v>
      </c>
      <c r="B180" s="39">
        <v>1970</v>
      </c>
      <c r="C180" s="39">
        <v>5</v>
      </c>
      <c r="D180" s="39">
        <v>5</v>
      </c>
      <c r="E180" s="39">
        <v>5</v>
      </c>
      <c r="F180" s="40">
        <v>7.7860528482745332E-4</v>
      </c>
      <c r="G180" s="40">
        <v>3.88546331845289E-3</v>
      </c>
      <c r="H180" s="41">
        <v>91766.957665292153</v>
      </c>
      <c r="I180" s="41">
        <v>356.55714785450255</v>
      </c>
      <c r="J180" s="41">
        <v>457943.39545682451</v>
      </c>
      <c r="K180" s="40">
        <v>0.99619734639390856</v>
      </c>
      <c r="L180" s="41">
        <v>6104079.3892205944</v>
      </c>
      <c r="M180" s="42">
        <v>66.517181614371665</v>
      </c>
      <c r="N180" s="43">
        <v>2.5</v>
      </c>
      <c r="O180" s="40">
        <v>0.99611453668154715</v>
      </c>
    </row>
    <row r="181" spans="1:15">
      <c r="A181" s="39">
        <v>1</v>
      </c>
      <c r="B181" s="39">
        <v>1970</v>
      </c>
      <c r="C181" s="39">
        <v>5</v>
      </c>
      <c r="D181" s="39">
        <v>10</v>
      </c>
      <c r="E181" s="39">
        <v>5</v>
      </c>
      <c r="F181" s="40">
        <v>7.4529023822112058E-4</v>
      </c>
      <c r="G181" s="40">
        <v>3.7195208845902414E-3</v>
      </c>
      <c r="H181" s="41">
        <v>91410.400517437651</v>
      </c>
      <c r="I181" s="41">
        <v>340.00289379336755</v>
      </c>
      <c r="J181" s="41">
        <v>456201.99535270483</v>
      </c>
      <c r="K181" s="40">
        <v>0.99501626026091472</v>
      </c>
      <c r="L181" s="41">
        <v>5646135.99376377</v>
      </c>
      <c r="M181" s="42">
        <v>61.766888251263055</v>
      </c>
      <c r="N181" s="43">
        <v>2.5</v>
      </c>
      <c r="O181" s="40">
        <v>0.99628047911540973</v>
      </c>
    </row>
    <row r="182" spans="1:15">
      <c r="A182" s="39">
        <v>1</v>
      </c>
      <c r="B182" s="39">
        <v>1970</v>
      </c>
      <c r="C182" s="39">
        <v>5</v>
      </c>
      <c r="D182" s="39">
        <v>15</v>
      </c>
      <c r="E182" s="39">
        <v>5</v>
      </c>
      <c r="F182" s="40">
        <v>1.3724767210573086E-3</v>
      </c>
      <c r="G182" s="40">
        <v>6.8409294662869864E-3</v>
      </c>
      <c r="H182" s="41">
        <v>91070.397623644283</v>
      </c>
      <c r="I182" s="41">
        <v>623.00616661006643</v>
      </c>
      <c r="J182" s="41">
        <v>453928.40333941556</v>
      </c>
      <c r="K182" s="40">
        <v>0.9913280123213204</v>
      </c>
      <c r="L182" s="41">
        <v>5189933.998411065</v>
      </c>
      <c r="M182" s="42">
        <v>56.988155688733052</v>
      </c>
      <c r="N182" s="43">
        <v>2.7149748187053575</v>
      </c>
      <c r="O182" s="40">
        <v>0.993159070533713</v>
      </c>
    </row>
    <row r="183" spans="1:15">
      <c r="A183" s="39">
        <v>1</v>
      </c>
      <c r="B183" s="39">
        <v>1970</v>
      </c>
      <c r="C183" s="39">
        <v>5</v>
      </c>
      <c r="D183" s="39">
        <v>20</v>
      </c>
      <c r="E183" s="39">
        <v>5</v>
      </c>
      <c r="F183" s="40">
        <v>2.1204373021926279E-3</v>
      </c>
      <c r="G183" s="40">
        <v>1.0549554649916436E-2</v>
      </c>
      <c r="H183" s="41">
        <v>90447.391457034217</v>
      </c>
      <c r="I183" s="41">
        <v>954.17969911836553</v>
      </c>
      <c r="J183" s="41">
        <v>449991.94181865343</v>
      </c>
      <c r="K183" s="40">
        <v>0.98768054168223807</v>
      </c>
      <c r="L183" s="41">
        <v>4736005.5950716492</v>
      </c>
      <c r="M183" s="42">
        <v>52.361992079356135</v>
      </c>
      <c r="N183" s="43">
        <v>2.6471774985445626</v>
      </c>
      <c r="O183" s="40">
        <v>0.98945044535008353</v>
      </c>
    </row>
    <row r="184" spans="1:15">
      <c r="A184" s="39">
        <v>1</v>
      </c>
      <c r="B184" s="39">
        <v>1970</v>
      </c>
      <c r="C184" s="39">
        <v>5</v>
      </c>
      <c r="D184" s="39">
        <v>25</v>
      </c>
      <c r="E184" s="39">
        <v>5</v>
      </c>
      <c r="F184" s="40">
        <v>2.8413329746064791E-3</v>
      </c>
      <c r="G184" s="40">
        <v>1.4110853129980233E-2</v>
      </c>
      <c r="H184" s="41">
        <v>89493.211757915851</v>
      </c>
      <c r="I184" s="41">
        <v>1262.8255672461673</v>
      </c>
      <c r="J184" s="41">
        <v>444448.2848480898</v>
      </c>
      <c r="K184" s="40">
        <v>0.98383237281495106</v>
      </c>
      <c r="L184" s="41">
        <v>4286013.6532529956</v>
      </c>
      <c r="M184" s="42">
        <v>47.892053140822597</v>
      </c>
      <c r="N184" s="43">
        <v>2.6103002506749378</v>
      </c>
      <c r="O184" s="40">
        <v>0.98588914687001972</v>
      </c>
    </row>
    <row r="185" spans="1:15">
      <c r="A185" s="39">
        <v>1</v>
      </c>
      <c r="B185" s="39">
        <v>1970</v>
      </c>
      <c r="C185" s="39">
        <v>5</v>
      </c>
      <c r="D185" s="39">
        <v>30</v>
      </c>
      <c r="E185" s="39">
        <v>5</v>
      </c>
      <c r="F185" s="40">
        <v>3.7042354271774893E-3</v>
      </c>
      <c r="G185" s="40">
        <v>1.8357889196410168E-2</v>
      </c>
      <c r="H185" s="41">
        <v>88230.386190669684</v>
      </c>
      <c r="I185" s="41">
        <v>1619.7236534447875</v>
      </c>
      <c r="J185" s="41">
        <v>437262.61067563144</v>
      </c>
      <c r="K185" s="40">
        <v>0.97925481146380489</v>
      </c>
      <c r="L185" s="41">
        <v>3841565.3684049058</v>
      </c>
      <c r="M185" s="42">
        <v>43.540162683898004</v>
      </c>
      <c r="N185" s="43">
        <v>2.5987754025538559</v>
      </c>
      <c r="O185" s="40">
        <v>0.98164211080358987</v>
      </c>
    </row>
    <row r="186" spans="1:15">
      <c r="A186" s="39">
        <v>1</v>
      </c>
      <c r="B186" s="39">
        <v>1970</v>
      </c>
      <c r="C186" s="39">
        <v>5</v>
      </c>
      <c r="D186" s="39">
        <v>35</v>
      </c>
      <c r="E186" s="39">
        <v>5</v>
      </c>
      <c r="F186" s="40">
        <v>4.7371589854067883E-3</v>
      </c>
      <c r="G186" s="40">
        <v>2.3419879552045872E-2</v>
      </c>
      <c r="H186" s="41">
        <v>86610.662537224896</v>
      </c>
      <c r="I186" s="41">
        <v>2028.4112845446944</v>
      </c>
      <c r="J186" s="41">
        <v>428191.51537733659</v>
      </c>
      <c r="K186" s="40">
        <v>0.97270708961418695</v>
      </c>
      <c r="L186" s="41">
        <v>3404302.7577292742</v>
      </c>
      <c r="M186" s="42">
        <v>39.305815912285851</v>
      </c>
      <c r="N186" s="43">
        <v>2.6031501373355814</v>
      </c>
      <c r="O186" s="40">
        <v>0.97658012044795417</v>
      </c>
    </row>
    <row r="187" spans="1:15">
      <c r="A187" s="39">
        <v>1</v>
      </c>
      <c r="B187" s="39">
        <v>1970</v>
      </c>
      <c r="C187" s="39">
        <v>5</v>
      </c>
      <c r="D187" s="39">
        <v>40</v>
      </c>
      <c r="E187" s="39">
        <v>5</v>
      </c>
      <c r="F187" s="40">
        <v>6.3723551344181655E-3</v>
      </c>
      <c r="G187" s="40">
        <v>3.1379127931668305E-2</v>
      </c>
      <c r="H187" s="41">
        <v>84582.251252680202</v>
      </c>
      <c r="I187" s="41">
        <v>2654.1172828063718</v>
      </c>
      <c r="J187" s="41">
        <v>416504.92272017745</v>
      </c>
      <c r="K187" s="40">
        <v>0.96587400518074262</v>
      </c>
      <c r="L187" s="41">
        <v>2976111.2423519376</v>
      </c>
      <c r="M187" s="42">
        <v>35.186001770763127</v>
      </c>
      <c r="N187" s="43">
        <v>2.5862658426119935</v>
      </c>
      <c r="O187" s="40">
        <v>0.9686208720683317</v>
      </c>
    </row>
    <row r="188" spans="1:15">
      <c r="A188" s="39">
        <v>1</v>
      </c>
      <c r="B188" s="39">
        <v>1970</v>
      </c>
      <c r="C188" s="39">
        <v>5</v>
      </c>
      <c r="D188" s="39">
        <v>45</v>
      </c>
      <c r="E188" s="39">
        <v>5</v>
      </c>
      <c r="F188" s="40">
        <v>7.6387744784158808E-3</v>
      </c>
      <c r="G188" s="40">
        <v>3.7508633450983077E-2</v>
      </c>
      <c r="H188" s="41">
        <v>81928.13396987383</v>
      </c>
      <c r="I188" s="41">
        <v>3073.0123463990312</v>
      </c>
      <c r="J188" s="41">
        <v>402291.27788523346</v>
      </c>
      <c r="K188" s="40">
        <v>0.9537480351092934</v>
      </c>
      <c r="L188" s="41">
        <v>2559606.31963176</v>
      </c>
      <c r="M188" s="42">
        <v>31.242092253351757</v>
      </c>
      <c r="N188" s="43">
        <v>2.6084079282181483</v>
      </c>
      <c r="O188" s="40">
        <v>0.9624913665490169</v>
      </c>
    </row>
    <row r="189" spans="1:15">
      <c r="A189" s="39">
        <v>1</v>
      </c>
      <c r="B189" s="39">
        <v>1970</v>
      </c>
      <c r="C189" s="39">
        <v>5</v>
      </c>
      <c r="D189" s="39">
        <v>50</v>
      </c>
      <c r="E189" s="39">
        <v>5</v>
      </c>
      <c r="F189" s="40">
        <v>1.1573464381118934E-2</v>
      </c>
      <c r="G189" s="40">
        <v>5.6312880965254837E-2</v>
      </c>
      <c r="H189" s="41">
        <v>78855.121623474799</v>
      </c>
      <c r="I189" s="41">
        <v>4440.5590774834272</v>
      </c>
      <c r="J189" s="41">
        <v>383684.51582464814</v>
      </c>
      <c r="K189" s="40">
        <v>0.93628441596775536</v>
      </c>
      <c r="L189" s="41">
        <v>2157315.0417465265</v>
      </c>
      <c r="M189" s="42">
        <v>27.357957192019647</v>
      </c>
      <c r="N189" s="43">
        <v>2.6149191784364096</v>
      </c>
      <c r="O189" s="40">
        <v>0.94368711903474511</v>
      </c>
    </row>
    <row r="190" spans="1:15">
      <c r="A190" s="39">
        <v>1</v>
      </c>
      <c r="B190" s="39">
        <v>1970</v>
      </c>
      <c r="C190" s="39">
        <v>5</v>
      </c>
      <c r="D190" s="39">
        <v>55</v>
      </c>
      <c r="E190" s="39">
        <v>5</v>
      </c>
      <c r="F190" s="40">
        <v>1.4888422269766066E-2</v>
      </c>
      <c r="G190" s="40">
        <v>7.1874165045531999E-2</v>
      </c>
      <c r="H190" s="41">
        <v>74414.562545991372</v>
      </c>
      <c r="I190" s="41">
        <v>5348.4845502216485</v>
      </c>
      <c r="J190" s="41">
        <v>359237.83281475166</v>
      </c>
      <c r="K190" s="40">
        <v>0.91389136069498644</v>
      </c>
      <c r="L190" s="41">
        <v>1773630.5259218784</v>
      </c>
      <c r="M190" s="42">
        <v>23.834454779273869</v>
      </c>
      <c r="N190" s="43">
        <v>2.6002585789140409</v>
      </c>
      <c r="O190" s="40">
        <v>0.92812583495446799</v>
      </c>
    </row>
    <row r="191" spans="1:15">
      <c r="A191" s="39">
        <v>1</v>
      </c>
      <c r="B191" s="39">
        <v>1970</v>
      </c>
      <c r="C191" s="39">
        <v>5</v>
      </c>
      <c r="D191" s="39">
        <v>60</v>
      </c>
      <c r="E191" s="39">
        <v>5</v>
      </c>
      <c r="F191" s="40">
        <v>2.1733184363446366E-2</v>
      </c>
      <c r="G191" s="40">
        <v>0.10330829855994715</v>
      </c>
      <c r="H191" s="41">
        <v>69066.077995769723</v>
      </c>
      <c r="I191" s="41">
        <v>7135.099005951568</v>
      </c>
      <c r="J191" s="41">
        <v>328304.35184419143</v>
      </c>
      <c r="K191" s="40">
        <v>0.87480646334715206</v>
      </c>
      <c r="L191" s="41">
        <v>1414392.6931071267</v>
      </c>
      <c r="M191" s="42">
        <v>20.478833229733386</v>
      </c>
      <c r="N191" s="43">
        <v>2.6137628755459015</v>
      </c>
      <c r="O191" s="40">
        <v>0.89669170144005284</v>
      </c>
    </row>
    <row r="192" spans="1:15">
      <c r="A192" s="39">
        <v>1</v>
      </c>
      <c r="B192" s="39">
        <v>1970</v>
      </c>
      <c r="C192" s="39">
        <v>5</v>
      </c>
      <c r="D192" s="39">
        <v>65</v>
      </c>
      <c r="E192" s="39">
        <v>5</v>
      </c>
      <c r="F192" s="40">
        <v>3.1943781456737645E-2</v>
      </c>
      <c r="G192" s="40">
        <v>0.14813817954085906</v>
      </c>
      <c r="H192" s="41">
        <v>61930.978989818155</v>
      </c>
      <c r="I192" s="41">
        <v>9174.3424847348579</v>
      </c>
      <c r="J192" s="41">
        <v>287202.76893829618</v>
      </c>
      <c r="K192" s="40">
        <v>0.83881950115729775</v>
      </c>
      <c r="L192" s="41">
        <v>1086088.3412629352</v>
      </c>
      <c r="M192" s="42">
        <v>17.537076903652611</v>
      </c>
      <c r="N192" s="43">
        <v>2.5527264162905872</v>
      </c>
      <c r="O192" s="40">
        <v>0.85186182045914094</v>
      </c>
    </row>
    <row r="193" spans="1:15">
      <c r="A193" s="39">
        <v>1</v>
      </c>
      <c r="B193" s="39">
        <v>1970</v>
      </c>
      <c r="C193" s="39">
        <v>5</v>
      </c>
      <c r="D193" s="39">
        <v>70</v>
      </c>
      <c r="E193" s="39">
        <v>5</v>
      </c>
      <c r="F193" s="40">
        <v>3.8527217460892021E-2</v>
      </c>
      <c r="G193" s="40">
        <v>0.17593315302339688</v>
      </c>
      <c r="H193" s="41">
        <v>52756.636505083297</v>
      </c>
      <c r="I193" s="41">
        <v>9281.6414032485482</v>
      </c>
      <c r="J193" s="41">
        <v>240911.28337181624</v>
      </c>
      <c r="K193" s="40">
        <v>0.79134640078391616</v>
      </c>
      <c r="L193" s="41">
        <v>798885.57232463895</v>
      </c>
      <c r="M193" s="42">
        <v>15.142845056994172</v>
      </c>
      <c r="N193" s="43">
        <v>2.5357915523869368</v>
      </c>
      <c r="O193" s="40">
        <v>0.82406684697660315</v>
      </c>
    </row>
    <row r="194" spans="1:15">
      <c r="A194" s="39">
        <v>1</v>
      </c>
      <c r="B194" s="39">
        <v>1970</v>
      </c>
      <c r="C194" s="39">
        <v>5</v>
      </c>
      <c r="D194" s="39">
        <v>75</v>
      </c>
      <c r="E194" s="39">
        <v>5</v>
      </c>
      <c r="F194" s="40">
        <v>5.5759575551029901E-2</v>
      </c>
      <c r="G194" s="40">
        <v>0.24451397733582339</v>
      </c>
      <c r="H194" s="41">
        <v>43474.995101834749</v>
      </c>
      <c r="I194" s="41">
        <v>10630.243967005052</v>
      </c>
      <c r="J194" s="41">
        <v>190644.2770045209</v>
      </c>
      <c r="K194" s="40">
        <v>0.74176234584697864</v>
      </c>
      <c r="L194" s="41">
        <v>557974.28895282268</v>
      </c>
      <c r="M194" s="42">
        <v>12.834372669757352</v>
      </c>
      <c r="N194" s="43">
        <v>2.4854106276750008</v>
      </c>
      <c r="O194" s="40">
        <v>0.75548602266417664</v>
      </c>
    </row>
    <row r="195" spans="1:15">
      <c r="A195" s="39">
        <v>1</v>
      </c>
      <c r="B195" s="39">
        <v>1970</v>
      </c>
      <c r="C195" s="39">
        <v>5</v>
      </c>
      <c r="D195" s="39">
        <v>80</v>
      </c>
      <c r="E195" s="39">
        <v>5</v>
      </c>
      <c r="F195" s="40">
        <v>6.2735765453174247E-2</v>
      </c>
      <c r="G195" s="40">
        <v>0.27010820806896996</v>
      </c>
      <c r="H195" s="41">
        <v>32844.751134829698</v>
      </c>
      <c r="I195" s="41">
        <v>8871.6368735001161</v>
      </c>
      <c r="J195" s="41">
        <v>141412.74613317463</v>
      </c>
      <c r="K195" s="40">
        <v>0.7121730640443843</v>
      </c>
      <c r="L195" s="41">
        <v>367330.01194830181</v>
      </c>
      <c r="M195" s="42">
        <v>11.183826920788341</v>
      </c>
      <c r="N195" s="43">
        <v>2.4287710524862511</v>
      </c>
      <c r="O195" s="40">
        <v>0.72989179193103004</v>
      </c>
    </row>
    <row r="196" spans="1:15">
      <c r="A196" s="39">
        <v>1</v>
      </c>
      <c r="B196" s="39">
        <v>1970</v>
      </c>
      <c r="C196" s="39">
        <v>5</v>
      </c>
      <c r="D196" s="39">
        <v>85</v>
      </c>
      <c r="E196" s="39">
        <v>5</v>
      </c>
      <c r="F196" s="40">
        <v>7.4180985766659116E-2</v>
      </c>
      <c r="G196" s="40">
        <v>0.31163214185144089</v>
      </c>
      <c r="H196" s="41">
        <v>23973.114261329581</v>
      </c>
      <c r="I196" s="41">
        <v>7470.7929441074593</v>
      </c>
      <c r="J196" s="41">
        <v>100710.34870859364</v>
      </c>
      <c r="K196" s="40">
        <v>0.65597711084235533</v>
      </c>
      <c r="L196" s="41">
        <v>225917.2658151272</v>
      </c>
      <c r="M196" s="42">
        <v>9.4237762917414774</v>
      </c>
      <c r="N196" s="43">
        <v>2.4359853443451636</v>
      </c>
      <c r="O196" s="40">
        <v>0.68836785814855905</v>
      </c>
    </row>
    <row r="197" spans="1:15">
      <c r="A197" s="39">
        <v>1</v>
      </c>
      <c r="B197" s="39">
        <v>1970</v>
      </c>
      <c r="C197" s="39">
        <v>5</v>
      </c>
      <c r="D197" s="39">
        <v>90</v>
      </c>
      <c r="E197" s="39">
        <v>5</v>
      </c>
      <c r="F197" s="40">
        <v>9.6879817690359651E-2</v>
      </c>
      <c r="G197" s="40">
        <v>0.38783862572657812</v>
      </c>
      <c r="H197" s="41">
        <v>16502.321317222122</v>
      </c>
      <c r="I197" s="41">
        <v>6400.2376209698432</v>
      </c>
      <c r="J197" s="41">
        <v>66063.683577789387</v>
      </c>
      <c r="K197" s="40">
        <v>0.55978815427652628</v>
      </c>
      <c r="L197" s="41">
        <v>125206.91710653357</v>
      </c>
      <c r="M197" s="42">
        <v>7.5872305901512993</v>
      </c>
      <c r="N197" s="43">
        <v>2.4301074456312399</v>
      </c>
      <c r="O197" s="40">
        <v>0.61216137427342188</v>
      </c>
    </row>
    <row r="198" spans="1:15">
      <c r="A198" s="39">
        <v>1</v>
      </c>
      <c r="B198" s="39">
        <v>1970</v>
      </c>
      <c r="C198" s="39">
        <v>5</v>
      </c>
      <c r="D198" s="39">
        <v>95</v>
      </c>
      <c r="E198" s="39">
        <v>5</v>
      </c>
      <c r="F198" s="40">
        <v>0.13974534147203455</v>
      </c>
      <c r="G198" s="40">
        <v>0.51157918580421458</v>
      </c>
      <c r="H198" s="41">
        <v>10102.083696252279</v>
      </c>
      <c r="I198" s="41">
        <v>5168.0157522547715</v>
      </c>
      <c r="J198" s="41">
        <v>36981.667494719179</v>
      </c>
      <c r="K198" s="40">
        <v>0.37471008451464316</v>
      </c>
      <c r="L198" s="41">
        <v>59143.233528744189</v>
      </c>
      <c r="M198" s="42">
        <v>5.8545578622245467</v>
      </c>
      <c r="N198" s="43">
        <v>2.3822156055465369</v>
      </c>
      <c r="O198" s="40">
        <v>0.48842081419578542</v>
      </c>
    </row>
    <row r="199" spans="1:15">
      <c r="A199" s="39">
        <v>1</v>
      </c>
      <c r="B199" s="39">
        <v>1970</v>
      </c>
      <c r="C199" s="39">
        <v>5</v>
      </c>
      <c r="D199" s="39">
        <v>100</v>
      </c>
      <c r="E199" s="39">
        <v>0</v>
      </c>
      <c r="F199" s="40">
        <v>0.2226407617774914</v>
      </c>
      <c r="G199" s="40">
        <v>1</v>
      </c>
      <c r="H199" s="41">
        <v>4934.0679439975074</v>
      </c>
      <c r="I199" s="41">
        <v>4934.0679439975074</v>
      </c>
      <c r="J199" s="41">
        <v>22161.566034025011</v>
      </c>
      <c r="K199" s="40">
        <v>0</v>
      </c>
      <c r="L199" s="41">
        <v>22161.566034025011</v>
      </c>
      <c r="M199" s="42">
        <v>4.4915405068520489</v>
      </c>
      <c r="N199" s="43">
        <v>4.4915405068520489</v>
      </c>
      <c r="O199" s="40">
        <v>0</v>
      </c>
    </row>
    <row r="200" spans="1:15">
      <c r="A200" s="44">
        <v>2</v>
      </c>
      <c r="B200" s="44">
        <v>1970</v>
      </c>
      <c r="C200" s="44">
        <v>5</v>
      </c>
      <c r="D200" s="44">
        <v>0</v>
      </c>
      <c r="E200" s="44">
        <v>1</v>
      </c>
      <c r="F200" s="45">
        <v>6.4736919197122239E-2</v>
      </c>
      <c r="G200" s="45">
        <v>6.1679383928136232E-2</v>
      </c>
      <c r="H200" s="46">
        <v>100000</v>
      </c>
      <c r="I200" s="46">
        <v>6167.9383928136231</v>
      </c>
      <c r="J200" s="46">
        <v>95276.983664181025</v>
      </c>
      <c r="K200" s="45">
        <v>0.93411138550097461</v>
      </c>
      <c r="L200" s="46">
        <v>7192236.3655997384</v>
      </c>
      <c r="M200" s="47">
        <v>71.922363655997387</v>
      </c>
      <c r="N200" s="48">
        <v>0.23426337375194226</v>
      </c>
      <c r="O200" s="45">
        <v>0.93832061607186379</v>
      </c>
    </row>
    <row r="201" spans="1:15">
      <c r="A201" s="44">
        <v>2</v>
      </c>
      <c r="B201" s="44">
        <v>1970</v>
      </c>
      <c r="C201" s="44">
        <v>5</v>
      </c>
      <c r="D201" s="44">
        <v>1</v>
      </c>
      <c r="E201" s="44">
        <v>4</v>
      </c>
      <c r="F201" s="45">
        <v>3.7059175227243907E-3</v>
      </c>
      <c r="G201" s="45">
        <v>1.4683480347545463E-2</v>
      </c>
      <c r="H201" s="46">
        <v>93832.061607186377</v>
      </c>
      <c r="I201" s="46">
        <v>1377.7812325787963</v>
      </c>
      <c r="J201" s="46">
        <v>371778.70908630628</v>
      </c>
      <c r="K201" s="45">
        <v>0.98831354385128878</v>
      </c>
      <c r="L201" s="46">
        <v>7096959.3819355574</v>
      </c>
      <c r="M201" s="47">
        <v>75.634695224388182</v>
      </c>
      <c r="N201" s="48">
        <v>1.4237293566587685</v>
      </c>
      <c r="O201" s="45">
        <v>0.98531651965245448</v>
      </c>
    </row>
    <row r="202" spans="1:15">
      <c r="A202" s="44">
        <v>2</v>
      </c>
      <c r="B202" s="44">
        <v>1970</v>
      </c>
      <c r="C202" s="44">
        <v>5</v>
      </c>
      <c r="D202" s="44">
        <v>5</v>
      </c>
      <c r="E202" s="44">
        <v>5</v>
      </c>
      <c r="F202" s="45">
        <v>5.8400233384558694E-4</v>
      </c>
      <c r="G202" s="45">
        <v>2.9157546504260099E-3</v>
      </c>
      <c r="H202" s="46">
        <v>92454.280374607581</v>
      </c>
      <c r="I202" s="46">
        <v>269.57399795405217</v>
      </c>
      <c r="J202" s="46">
        <v>461597.4668781528</v>
      </c>
      <c r="K202" s="45">
        <v>0.99731762856778639</v>
      </c>
      <c r="L202" s="46">
        <v>6725180.672849251</v>
      </c>
      <c r="M202" s="47">
        <v>72.740609148652368</v>
      </c>
      <c r="N202" s="48">
        <v>2.5</v>
      </c>
      <c r="O202" s="45">
        <v>0.99708424534957396</v>
      </c>
    </row>
    <row r="203" spans="1:15">
      <c r="A203" s="44">
        <v>2</v>
      </c>
      <c r="B203" s="44">
        <v>1970</v>
      </c>
      <c r="C203" s="44">
        <v>5</v>
      </c>
      <c r="D203" s="44">
        <v>10</v>
      </c>
      <c r="E203" s="44">
        <v>5</v>
      </c>
      <c r="F203" s="45">
        <v>4.9026130195052163E-4</v>
      </c>
      <c r="G203" s="45">
        <v>2.4483057358585208E-3</v>
      </c>
      <c r="H203" s="46">
        <v>92184.706376653528</v>
      </c>
      <c r="I203" s="46">
        <v>225.69634538040555</v>
      </c>
      <c r="J203" s="46">
        <v>460359.29101981665</v>
      </c>
      <c r="K203" s="45">
        <v>0.99695327558400959</v>
      </c>
      <c r="L203" s="46">
        <v>6263583.2059710985</v>
      </c>
      <c r="M203" s="47">
        <v>67.946012437019576</v>
      </c>
      <c r="N203" s="48">
        <v>2.5</v>
      </c>
      <c r="O203" s="45">
        <v>0.99755169426414148</v>
      </c>
    </row>
    <row r="204" spans="1:15">
      <c r="A204" s="44">
        <v>2</v>
      </c>
      <c r="B204" s="44">
        <v>1970</v>
      </c>
      <c r="C204" s="44">
        <v>5</v>
      </c>
      <c r="D204" s="44">
        <v>15</v>
      </c>
      <c r="E204" s="44">
        <v>5</v>
      </c>
      <c r="F204" s="45">
        <v>7.7414682287482088E-4</v>
      </c>
      <c r="G204" s="45">
        <v>3.8636765820185747E-3</v>
      </c>
      <c r="H204" s="46">
        <v>91959.010031273123</v>
      </c>
      <c r="I204" s="46">
        <v>355.29987356344645</v>
      </c>
      <c r="J204" s="46">
        <v>458956.70312773855</v>
      </c>
      <c r="K204" s="45">
        <v>0.99564110262397343</v>
      </c>
      <c r="L204" s="46">
        <v>5803223.9149512816</v>
      </c>
      <c r="M204" s="47">
        <v>63.10663754402902</v>
      </c>
      <c r="N204" s="48">
        <v>2.6404522179561658</v>
      </c>
      <c r="O204" s="45">
        <v>0.99613632341798142</v>
      </c>
    </row>
    <row r="205" spans="1:15">
      <c r="A205" s="44">
        <v>2</v>
      </c>
      <c r="B205" s="44">
        <v>1970</v>
      </c>
      <c r="C205" s="44">
        <v>5</v>
      </c>
      <c r="D205" s="44">
        <v>20</v>
      </c>
      <c r="E205" s="44">
        <v>5</v>
      </c>
      <c r="F205" s="45">
        <v>9.6956802055693536E-4</v>
      </c>
      <c r="G205" s="45">
        <v>4.8365953386670076E-3</v>
      </c>
      <c r="H205" s="46">
        <v>91603.710157709676</v>
      </c>
      <c r="I205" s="46">
        <v>443.05007755337283</v>
      </c>
      <c r="J205" s="46">
        <v>456956.15795876522</v>
      </c>
      <c r="K205" s="45">
        <v>0.99445170695936247</v>
      </c>
      <c r="L205" s="46">
        <v>5344267.2118235426</v>
      </c>
      <c r="M205" s="47">
        <v>58.341165468326295</v>
      </c>
      <c r="N205" s="48">
        <v>2.6020931185703815</v>
      </c>
      <c r="O205" s="45">
        <v>0.99516340466133302</v>
      </c>
    </row>
    <row r="206" spans="1:15">
      <c r="A206" s="44">
        <v>2</v>
      </c>
      <c r="B206" s="44">
        <v>1970</v>
      </c>
      <c r="C206" s="44">
        <v>5</v>
      </c>
      <c r="D206" s="44">
        <v>25</v>
      </c>
      <c r="E206" s="44">
        <v>5</v>
      </c>
      <c r="F206" s="45">
        <v>1.2760239056699336E-3</v>
      </c>
      <c r="G206" s="45">
        <v>6.3607683780222257E-3</v>
      </c>
      <c r="H206" s="46">
        <v>91160.660080156304</v>
      </c>
      <c r="I206" s="46">
        <v>579.8518439574982</v>
      </c>
      <c r="J206" s="46">
        <v>454420.83128768613</v>
      </c>
      <c r="K206" s="45">
        <v>0.99264661692933043</v>
      </c>
      <c r="L206" s="46">
        <v>4887311.0538647771</v>
      </c>
      <c r="M206" s="47">
        <v>53.612063027707698</v>
      </c>
      <c r="N206" s="48">
        <v>2.6158235461320762</v>
      </c>
      <c r="O206" s="45">
        <v>0.99363923162197776</v>
      </c>
    </row>
    <row r="207" spans="1:15">
      <c r="A207" s="44">
        <v>2</v>
      </c>
      <c r="B207" s="44">
        <v>1970</v>
      </c>
      <c r="C207" s="44">
        <v>5</v>
      </c>
      <c r="D207" s="44">
        <v>30</v>
      </c>
      <c r="E207" s="44">
        <v>5</v>
      </c>
      <c r="F207" s="45">
        <v>1.7122505463532211E-3</v>
      </c>
      <c r="G207" s="45">
        <v>8.5267596343123631E-3</v>
      </c>
      <c r="H207" s="46">
        <v>90580.808236198805</v>
      </c>
      <c r="I207" s="46">
        <v>772.36077931181353</v>
      </c>
      <c r="J207" s="46">
        <v>451079.30083993566</v>
      </c>
      <c r="K207" s="45">
        <v>0.98961987152187725</v>
      </c>
      <c r="L207" s="46">
        <v>4432890.2225770913</v>
      </c>
      <c r="M207" s="47">
        <v>48.938514779177865</v>
      </c>
      <c r="N207" s="48">
        <v>2.6374508002798285</v>
      </c>
      <c r="O207" s="45">
        <v>0.99147324036568762</v>
      </c>
    </row>
    <row r="208" spans="1:15">
      <c r="A208" s="44">
        <v>2</v>
      </c>
      <c r="B208" s="44">
        <v>1970</v>
      </c>
      <c r="C208" s="44">
        <v>5</v>
      </c>
      <c r="D208" s="44">
        <v>35</v>
      </c>
      <c r="E208" s="44">
        <v>5</v>
      </c>
      <c r="F208" s="45">
        <v>2.5108849642571755E-3</v>
      </c>
      <c r="G208" s="45">
        <v>1.2480469787863494E-2</v>
      </c>
      <c r="H208" s="46">
        <v>89808.447456886992</v>
      </c>
      <c r="I208" s="46">
        <v>1120.8516151805961</v>
      </c>
      <c r="J208" s="46">
        <v>446397.03974339535</v>
      </c>
      <c r="K208" s="45">
        <v>0.9852485033427969</v>
      </c>
      <c r="L208" s="46">
        <v>3981810.9217371559</v>
      </c>
      <c r="M208" s="47">
        <v>44.336708121456446</v>
      </c>
      <c r="N208" s="48">
        <v>2.6400109477351021</v>
      </c>
      <c r="O208" s="45">
        <v>0.98751953021213645</v>
      </c>
    </row>
    <row r="209" spans="1:15">
      <c r="A209" s="44">
        <v>2</v>
      </c>
      <c r="B209" s="44">
        <v>1970</v>
      </c>
      <c r="C209" s="44">
        <v>5</v>
      </c>
      <c r="D209" s="44">
        <v>40</v>
      </c>
      <c r="E209" s="44">
        <v>5</v>
      </c>
      <c r="F209" s="45">
        <v>3.4382754154287771E-3</v>
      </c>
      <c r="G209" s="45">
        <v>1.7050804289794882E-2</v>
      </c>
      <c r="H209" s="46">
        <v>88687.595841706396</v>
      </c>
      <c r="I209" s="46">
        <v>1512.1948396293737</v>
      </c>
      <c r="J209" s="46">
        <v>439812.01530383527</v>
      </c>
      <c r="K209" s="45">
        <v>0.98117688041990592</v>
      </c>
      <c r="L209" s="46">
        <v>3535413.8819937604</v>
      </c>
      <c r="M209" s="47">
        <v>39.863679339148234</v>
      </c>
      <c r="N209" s="48">
        <v>2.6021847121331456</v>
      </c>
      <c r="O209" s="45">
        <v>0.98294919571020511</v>
      </c>
    </row>
    <row r="210" spans="1:15">
      <c r="A210" s="44">
        <v>2</v>
      </c>
      <c r="B210" s="44">
        <v>1970</v>
      </c>
      <c r="C210" s="44">
        <v>5</v>
      </c>
      <c r="D210" s="44">
        <v>45</v>
      </c>
      <c r="E210" s="44">
        <v>5</v>
      </c>
      <c r="F210" s="45">
        <v>4.2439932861946857E-3</v>
      </c>
      <c r="G210" s="45">
        <v>2.100850413424727E-2</v>
      </c>
      <c r="H210" s="46">
        <v>87175.401002077022</v>
      </c>
      <c r="I210" s="46">
        <v>1831.4247723567969</v>
      </c>
      <c r="J210" s="46">
        <v>431533.38114700903</v>
      </c>
      <c r="K210" s="45">
        <v>0.97356181926547714</v>
      </c>
      <c r="L210" s="46">
        <v>3095601.8666899251</v>
      </c>
      <c r="M210" s="47">
        <v>35.510038739210046</v>
      </c>
      <c r="N210" s="48">
        <v>2.6282815822205805</v>
      </c>
      <c r="O210" s="45">
        <v>0.97899149586575274</v>
      </c>
    </row>
    <row r="211" spans="1:15">
      <c r="A211" s="44">
        <v>2</v>
      </c>
      <c r="B211" s="44">
        <v>1970</v>
      </c>
      <c r="C211" s="44">
        <v>5</v>
      </c>
      <c r="D211" s="44">
        <v>50</v>
      </c>
      <c r="E211" s="44">
        <v>5</v>
      </c>
      <c r="F211" s="45">
        <v>6.64032919933563E-3</v>
      </c>
      <c r="G211" s="45">
        <v>3.268847551736296E-2</v>
      </c>
      <c r="H211" s="46">
        <v>85343.976229720225</v>
      </c>
      <c r="I211" s="46">
        <v>2789.7644775396038</v>
      </c>
      <c r="J211" s="46">
        <v>420124.42362326465</v>
      </c>
      <c r="K211" s="45">
        <v>0.96266331556926188</v>
      </c>
      <c r="L211" s="46">
        <v>2664068.4855429162</v>
      </c>
      <c r="M211" s="47">
        <v>31.215659302913753</v>
      </c>
      <c r="N211" s="48">
        <v>2.6358371545567785</v>
      </c>
      <c r="O211" s="45">
        <v>0.96731152448263702</v>
      </c>
    </row>
    <row r="212" spans="1:15">
      <c r="A212" s="44">
        <v>2</v>
      </c>
      <c r="B212" s="44">
        <v>1970</v>
      </c>
      <c r="C212" s="44">
        <v>5</v>
      </c>
      <c r="D212" s="44">
        <v>55</v>
      </c>
      <c r="E212" s="44">
        <v>5</v>
      </c>
      <c r="F212" s="45">
        <v>8.705249832244898E-3</v>
      </c>
      <c r="G212" s="45">
        <v>4.2647576459939607E-2</v>
      </c>
      <c r="H212" s="46">
        <v>82554.211752180621</v>
      </c>
      <c r="I212" s="46">
        <v>3520.7370577911788</v>
      </c>
      <c r="J212" s="46">
        <v>404438.37059679709</v>
      </c>
      <c r="K212" s="45">
        <v>0.94663386328979227</v>
      </c>
      <c r="L212" s="46">
        <v>2243944.0619196515</v>
      </c>
      <c r="M212" s="47">
        <v>27.181460694649282</v>
      </c>
      <c r="N212" s="48">
        <v>2.6332546204590122</v>
      </c>
      <c r="O212" s="45">
        <v>0.95735242354006034</v>
      </c>
    </row>
    <row r="213" spans="1:15">
      <c r="A213" s="44">
        <v>2</v>
      </c>
      <c r="B213" s="44">
        <v>1970</v>
      </c>
      <c r="C213" s="44">
        <v>5</v>
      </c>
      <c r="D213" s="44">
        <v>60</v>
      </c>
      <c r="E213" s="44">
        <v>5</v>
      </c>
      <c r="F213" s="45">
        <v>1.373347409125792E-2</v>
      </c>
      <c r="G213" s="45">
        <v>6.6527886182137758E-2</v>
      </c>
      <c r="H213" s="46">
        <v>79033.474694389442</v>
      </c>
      <c r="I213" s="46">
        <v>5257.9300090471952</v>
      </c>
      <c r="J213" s="46">
        <v>382855.05722067476</v>
      </c>
      <c r="K213" s="45">
        <v>0.91665140104471643</v>
      </c>
      <c r="L213" s="46">
        <v>1839505.6913228545</v>
      </c>
      <c r="M213" s="47">
        <v>23.275019837302438</v>
      </c>
      <c r="N213" s="48">
        <v>2.6583339393854728</v>
      </c>
      <c r="O213" s="45">
        <v>0.93347211381786221</v>
      </c>
    </row>
    <row r="214" spans="1:15">
      <c r="A214" s="44">
        <v>2</v>
      </c>
      <c r="B214" s="44">
        <v>1970</v>
      </c>
      <c r="C214" s="44">
        <v>5</v>
      </c>
      <c r="D214" s="44">
        <v>65</v>
      </c>
      <c r="E214" s="44">
        <v>5</v>
      </c>
      <c r="F214" s="45">
        <v>2.1354530586672346E-2</v>
      </c>
      <c r="G214" s="45">
        <v>0.10158186906213997</v>
      </c>
      <c r="H214" s="46">
        <v>73775.544685342247</v>
      </c>
      <c r="I214" s="46">
        <v>7494.2577202145039</v>
      </c>
      <c r="J214" s="46">
        <v>350944.62459838658</v>
      </c>
      <c r="K214" s="45">
        <v>0.88428649815924854</v>
      </c>
      <c r="L214" s="46">
        <v>1456650.6341021797</v>
      </c>
      <c r="M214" s="47">
        <v>19.744356213361684</v>
      </c>
      <c r="N214" s="48">
        <v>2.6070880535702554</v>
      </c>
      <c r="O214" s="45">
        <v>0.89841813093786005</v>
      </c>
    </row>
    <row r="215" spans="1:15">
      <c r="A215" s="44">
        <v>2</v>
      </c>
      <c r="B215" s="44">
        <v>1970</v>
      </c>
      <c r="C215" s="44">
        <v>5</v>
      </c>
      <c r="D215" s="44">
        <v>70</v>
      </c>
      <c r="E215" s="44">
        <v>5</v>
      </c>
      <c r="F215" s="45">
        <v>2.8428841624466645E-2</v>
      </c>
      <c r="G215" s="45">
        <v>0.13310667054912259</v>
      </c>
      <c r="H215" s="46">
        <v>66281.286965127743</v>
      </c>
      <c r="I215" s="46">
        <v>8822.4814276391116</v>
      </c>
      <c r="J215" s="46">
        <v>310335.59313391935</v>
      </c>
      <c r="K215" s="45">
        <v>0.82699021875280243</v>
      </c>
      <c r="L215" s="46">
        <v>1105706.0095037932</v>
      </c>
      <c r="M215" s="47">
        <v>16.682023843102701</v>
      </c>
      <c r="N215" s="48">
        <v>2.6116876114118486</v>
      </c>
      <c r="O215" s="45">
        <v>0.86689332945087738</v>
      </c>
    </row>
    <row r="216" spans="1:15">
      <c r="A216" s="44">
        <v>2</v>
      </c>
      <c r="B216" s="44">
        <v>1970</v>
      </c>
      <c r="C216" s="44">
        <v>5</v>
      </c>
      <c r="D216" s="44">
        <v>75</v>
      </c>
      <c r="E216" s="44">
        <v>5</v>
      </c>
      <c r="F216" s="45">
        <v>4.8504320364113639E-2</v>
      </c>
      <c r="G216" s="45">
        <v>0.21664855253764831</v>
      </c>
      <c r="H216" s="46">
        <v>57458.805537488632</v>
      </c>
      <c r="I216" s="46">
        <v>12448.367050239125</v>
      </c>
      <c r="J216" s="46">
        <v>256644.50005260066</v>
      </c>
      <c r="K216" s="45">
        <v>0.76840694873631932</v>
      </c>
      <c r="L216" s="46">
        <v>795370.4163698738</v>
      </c>
      <c r="M216" s="47">
        <v>13.842446060785921</v>
      </c>
      <c r="N216" s="48">
        <v>2.5378676166000642</v>
      </c>
      <c r="O216" s="45">
        <v>0.78335144746235175</v>
      </c>
    </row>
    <row r="217" spans="1:15">
      <c r="A217" s="44">
        <v>2</v>
      </c>
      <c r="B217" s="44">
        <v>1970</v>
      </c>
      <c r="C217" s="44">
        <v>5</v>
      </c>
      <c r="D217" s="44">
        <v>80</v>
      </c>
      <c r="E217" s="44">
        <v>5</v>
      </c>
      <c r="F217" s="45">
        <v>5.5379635909865138E-2</v>
      </c>
      <c r="G217" s="45">
        <v>0.24263871515267779</v>
      </c>
      <c r="H217" s="46">
        <v>45010.438487249507</v>
      </c>
      <c r="I217" s="46">
        <v>10921.274963004857</v>
      </c>
      <c r="J217" s="46">
        <v>197207.41719537703</v>
      </c>
      <c r="K217" s="45">
        <v>0.73933377679045431</v>
      </c>
      <c r="L217" s="46">
        <v>538725.91631727316</v>
      </c>
      <c r="M217" s="47">
        <v>11.968910644358257</v>
      </c>
      <c r="N217" s="48">
        <v>2.4504098344567877</v>
      </c>
      <c r="O217" s="45">
        <v>0.75736128484732224</v>
      </c>
    </row>
    <row r="218" spans="1:15">
      <c r="A218" s="44">
        <v>2</v>
      </c>
      <c r="B218" s="44">
        <v>1970</v>
      </c>
      <c r="C218" s="44">
        <v>5</v>
      </c>
      <c r="D218" s="44">
        <v>85</v>
      </c>
      <c r="E218" s="44">
        <v>5</v>
      </c>
      <c r="F218" s="45">
        <v>6.6514265146597931E-2</v>
      </c>
      <c r="G218" s="45">
        <v>0.28448688203063532</v>
      </c>
      <c r="H218" s="46">
        <v>34089.16352424465</v>
      </c>
      <c r="I218" s="46">
        <v>9697.9198420448229</v>
      </c>
      <c r="J218" s="46">
        <v>145802.10456614889</v>
      </c>
      <c r="K218" s="45">
        <v>0.68284692757838894</v>
      </c>
      <c r="L218" s="46">
        <v>341518.49912189611</v>
      </c>
      <c r="M218" s="47">
        <v>10.018388948705173</v>
      </c>
      <c r="N218" s="48">
        <v>2.4588660809266703</v>
      </c>
      <c r="O218" s="45">
        <v>0.71551311796936468</v>
      </c>
    </row>
    <row r="219" spans="1:15">
      <c r="A219" s="44">
        <v>2</v>
      </c>
      <c r="B219" s="44">
        <v>1970</v>
      </c>
      <c r="C219" s="44">
        <v>5</v>
      </c>
      <c r="D219" s="44">
        <v>90</v>
      </c>
      <c r="E219" s="44">
        <v>5</v>
      </c>
      <c r="F219" s="45">
        <v>8.840351959177993E-2</v>
      </c>
      <c r="G219" s="45">
        <v>0.36084672101239185</v>
      </c>
      <c r="H219" s="46">
        <v>24391.243682199827</v>
      </c>
      <c r="I219" s="46">
        <v>8801.5003041360251</v>
      </c>
      <c r="J219" s="46">
        <v>99560.519137457755</v>
      </c>
      <c r="K219" s="45">
        <v>0.58574812861042991</v>
      </c>
      <c r="L219" s="46">
        <v>195716.39455574722</v>
      </c>
      <c r="M219" s="47">
        <v>8.0240432634673962</v>
      </c>
      <c r="N219" s="48">
        <v>2.4554679884499762</v>
      </c>
      <c r="O219" s="45">
        <v>0.63915327898760821</v>
      </c>
    </row>
    <row r="220" spans="1:15">
      <c r="A220" s="44">
        <v>2</v>
      </c>
      <c r="B220" s="44">
        <v>1970</v>
      </c>
      <c r="C220" s="44">
        <v>5</v>
      </c>
      <c r="D220" s="44">
        <v>95</v>
      </c>
      <c r="E220" s="44">
        <v>5</v>
      </c>
      <c r="F220" s="45">
        <v>0.13002126039933123</v>
      </c>
      <c r="G220" s="45">
        <v>0.48637749043986961</v>
      </c>
      <c r="H220" s="46">
        <v>15589.743378063802</v>
      </c>
      <c r="I220" s="46">
        <v>7582.5002608242467</v>
      </c>
      <c r="J220" s="46">
        <v>58317.387768248773</v>
      </c>
      <c r="K220" s="45">
        <v>0.39351196674606498</v>
      </c>
      <c r="L220" s="46">
        <v>96155.875418289463</v>
      </c>
      <c r="M220" s="47">
        <v>6.1678934082769823</v>
      </c>
      <c r="N220" s="48">
        <v>2.4109688827183455</v>
      </c>
      <c r="O220" s="45">
        <v>0.51362250956013034</v>
      </c>
    </row>
    <row r="221" spans="1:15">
      <c r="A221" s="44">
        <v>2</v>
      </c>
      <c r="B221" s="44">
        <v>1970</v>
      </c>
      <c r="C221" s="44">
        <v>5</v>
      </c>
      <c r="D221" s="44">
        <v>100</v>
      </c>
      <c r="E221" s="44">
        <v>0</v>
      </c>
      <c r="F221" s="45">
        <v>0.21161636245340118</v>
      </c>
      <c r="G221" s="45">
        <v>1</v>
      </c>
      <c r="H221" s="46">
        <v>8007.2431172395554</v>
      </c>
      <c r="I221" s="46">
        <v>8007.2431172395554</v>
      </c>
      <c r="J221" s="46">
        <v>37838.48765004069</v>
      </c>
      <c r="K221" s="45">
        <v>0</v>
      </c>
      <c r="L221" s="46">
        <v>37838.48765004069</v>
      </c>
      <c r="M221" s="47">
        <v>4.7255325080082322</v>
      </c>
      <c r="N221" s="48">
        <v>4.7255325080082322</v>
      </c>
      <c r="O221" s="45">
        <v>0</v>
      </c>
    </row>
    <row r="222" spans="1:15">
      <c r="A222" s="39">
        <v>1</v>
      </c>
      <c r="B222" s="39">
        <v>1975</v>
      </c>
      <c r="C222" s="39">
        <v>5</v>
      </c>
      <c r="D222" s="39">
        <v>0</v>
      </c>
      <c r="E222" s="39">
        <v>1</v>
      </c>
      <c r="F222" s="40">
        <v>5.8178234978002015E-2</v>
      </c>
      <c r="G222" s="40">
        <v>5.5594446349942879E-2</v>
      </c>
      <c r="H222" s="41">
        <v>100000</v>
      </c>
      <c r="I222" s="41">
        <v>5559.4446349942882</v>
      </c>
      <c r="J222" s="41">
        <v>95558.839780828406</v>
      </c>
      <c r="K222" s="40">
        <v>0.9415788623992587</v>
      </c>
      <c r="L222" s="41">
        <v>6749157.3895181268</v>
      </c>
      <c r="M222" s="42">
        <v>67.491573895181261</v>
      </c>
      <c r="N222" s="43">
        <v>0.20115038268095742</v>
      </c>
      <c r="O222" s="40">
        <v>0.94440555365005707</v>
      </c>
    </row>
    <row r="223" spans="1:15">
      <c r="A223" s="39">
        <v>1</v>
      </c>
      <c r="B223" s="39">
        <v>1975</v>
      </c>
      <c r="C223" s="39">
        <v>5</v>
      </c>
      <c r="D223" s="39">
        <v>1</v>
      </c>
      <c r="E223" s="39">
        <v>4</v>
      </c>
      <c r="F223" s="40">
        <v>2.6849667379371957E-3</v>
      </c>
      <c r="G223" s="40">
        <v>1.066789212666246E-2</v>
      </c>
      <c r="H223" s="41">
        <v>94440.555365005712</v>
      </c>
      <c r="I223" s="41">
        <v>1007.4816570159746</v>
      </c>
      <c r="J223" s="41">
        <v>375230.59141880093</v>
      </c>
      <c r="K223" s="40">
        <v>0.99058844280022262</v>
      </c>
      <c r="L223" s="41">
        <v>6653598.5497372989</v>
      </c>
      <c r="M223" s="42">
        <v>70.452768135698022</v>
      </c>
      <c r="N223" s="43">
        <v>1.4871700903019465</v>
      </c>
      <c r="O223" s="40">
        <v>0.98933210787333759</v>
      </c>
    </row>
    <row r="224" spans="1:15">
      <c r="A224" s="39">
        <v>1</v>
      </c>
      <c r="B224" s="39">
        <v>1975</v>
      </c>
      <c r="C224" s="39">
        <v>5</v>
      </c>
      <c r="D224" s="39">
        <v>5</v>
      </c>
      <c r="E224" s="39">
        <v>5</v>
      </c>
      <c r="F224" s="40">
        <v>6.9199886422430332E-4</v>
      </c>
      <c r="G224" s="40">
        <v>3.4540188782695869E-3</v>
      </c>
      <c r="H224" s="41">
        <v>93433.073707989737</v>
      </c>
      <c r="I224" s="41">
        <v>322.71960044214211</v>
      </c>
      <c r="J224" s="41">
        <v>466358.56953884335</v>
      </c>
      <c r="K224" s="40">
        <v>0.99655274076292077</v>
      </c>
      <c r="L224" s="41">
        <v>6278367.958318498</v>
      </c>
      <c r="M224" s="42">
        <v>67.196418882038941</v>
      </c>
      <c r="N224" s="43">
        <v>2.5</v>
      </c>
      <c r="O224" s="40">
        <v>0.99654598112173043</v>
      </c>
    </row>
    <row r="225" spans="1:15">
      <c r="A225" s="39">
        <v>1</v>
      </c>
      <c r="B225" s="39">
        <v>1975</v>
      </c>
      <c r="C225" s="39">
        <v>5</v>
      </c>
      <c r="D225" s="39">
        <v>10</v>
      </c>
      <c r="E225" s="39">
        <v>5</v>
      </c>
      <c r="F225" s="40">
        <v>6.8928096076627363E-4</v>
      </c>
      <c r="G225" s="40">
        <v>3.4404761670365968E-3</v>
      </c>
      <c r="H225" s="41">
        <v>93110.354107547595</v>
      </c>
      <c r="I225" s="41">
        <v>320.34395421136287</v>
      </c>
      <c r="J225" s="41">
        <v>464750.91065220954</v>
      </c>
      <c r="K225" s="40">
        <v>0.99510379306347707</v>
      </c>
      <c r="L225" s="41">
        <v>5812009.3887796551</v>
      </c>
      <c r="M225" s="42">
        <v>62.420656053637856</v>
      </c>
      <c r="N225" s="43">
        <v>2.5</v>
      </c>
      <c r="O225" s="40">
        <v>0.99655952383296342</v>
      </c>
    </row>
    <row r="226" spans="1:15">
      <c r="A226" s="39">
        <v>1</v>
      </c>
      <c r="B226" s="39">
        <v>1975</v>
      </c>
      <c r="C226" s="39">
        <v>5</v>
      </c>
      <c r="D226" s="39">
        <v>15</v>
      </c>
      <c r="E226" s="39">
        <v>5</v>
      </c>
      <c r="F226" s="40">
        <v>1.4085233589553323E-3</v>
      </c>
      <c r="G226" s="40">
        <v>7.020231966160897E-3</v>
      </c>
      <c r="H226" s="41">
        <v>92790.010153336232</v>
      </c>
      <c r="I226" s="41">
        <v>651.40739541884977</v>
      </c>
      <c r="J226" s="41">
        <v>462475.39401971886</v>
      </c>
      <c r="K226" s="40">
        <v>0.99106375883942288</v>
      </c>
      <c r="L226" s="41">
        <v>5347258.4781274451</v>
      </c>
      <c r="M226" s="42">
        <v>57.627523364757238</v>
      </c>
      <c r="N226" s="43">
        <v>2.7361989481035738</v>
      </c>
      <c r="O226" s="40">
        <v>0.99297976803383914</v>
      </c>
    </row>
    <row r="227" spans="1:15">
      <c r="A227" s="39">
        <v>1</v>
      </c>
      <c r="B227" s="39">
        <v>1975</v>
      </c>
      <c r="C227" s="39">
        <v>5</v>
      </c>
      <c r="D227" s="39">
        <v>20</v>
      </c>
      <c r="E227" s="39">
        <v>5</v>
      </c>
      <c r="F227" s="40">
        <v>2.1721856527470371E-3</v>
      </c>
      <c r="G227" s="40">
        <v>1.0805516852932708E-2</v>
      </c>
      <c r="H227" s="41">
        <v>92138.602757917382</v>
      </c>
      <c r="I227" s="41">
        <v>995.60522490635049</v>
      </c>
      <c r="J227" s="41">
        <v>458342.60236792575</v>
      </c>
      <c r="K227" s="40">
        <v>0.98760432336355142</v>
      </c>
      <c r="L227" s="41">
        <v>4884783.0841077259</v>
      </c>
      <c r="M227" s="42">
        <v>53.015597566004779</v>
      </c>
      <c r="N227" s="43">
        <v>2.6392134524180899</v>
      </c>
      <c r="O227" s="40">
        <v>0.98919448314706726</v>
      </c>
    </row>
    <row r="228" spans="1:15">
      <c r="A228" s="39">
        <v>1</v>
      </c>
      <c r="B228" s="39">
        <v>1975</v>
      </c>
      <c r="C228" s="39">
        <v>5</v>
      </c>
      <c r="D228" s="39">
        <v>25</v>
      </c>
      <c r="E228" s="39">
        <v>5</v>
      </c>
      <c r="F228" s="40">
        <v>2.8080444634745591E-3</v>
      </c>
      <c r="G228" s="40">
        <v>1.3946135526392983E-2</v>
      </c>
      <c r="H228" s="41">
        <v>91142.997533011032</v>
      </c>
      <c r="I228" s="41">
        <v>1271.0925958770677</v>
      </c>
      <c r="J228" s="41">
        <v>452661.13568026462</v>
      </c>
      <c r="K228" s="40">
        <v>0.98424697200585376</v>
      </c>
      <c r="L228" s="41">
        <v>4426440.4817398004</v>
      </c>
      <c r="M228" s="42">
        <v>48.565886590866079</v>
      </c>
      <c r="N228" s="43">
        <v>2.5974590720644035</v>
      </c>
      <c r="O228" s="40">
        <v>0.98605386447360699</v>
      </c>
    </row>
    <row r="229" spans="1:15">
      <c r="A229" s="39">
        <v>1</v>
      </c>
      <c r="B229" s="39">
        <v>1975</v>
      </c>
      <c r="C229" s="39">
        <v>5</v>
      </c>
      <c r="D229" s="39">
        <v>30</v>
      </c>
      <c r="E229" s="39">
        <v>5</v>
      </c>
      <c r="F229" s="40">
        <v>3.5666182018633309E-3</v>
      </c>
      <c r="G229" s="40">
        <v>1.768112809592302E-2</v>
      </c>
      <c r="H229" s="41">
        <v>89871.904937133964</v>
      </c>
      <c r="I229" s="41">
        <v>1589.0366634180828</v>
      </c>
      <c r="J229" s="41">
        <v>445530.35213803139</v>
      </c>
      <c r="K229" s="40">
        <v>0.98019846627426388</v>
      </c>
      <c r="L229" s="41">
        <v>3973779.3460595356</v>
      </c>
      <c r="M229" s="42">
        <v>44.216035576849322</v>
      </c>
      <c r="N229" s="43">
        <v>2.5902553818980425</v>
      </c>
      <c r="O229" s="40">
        <v>0.98231887190407696</v>
      </c>
    </row>
    <row r="230" spans="1:15">
      <c r="A230" s="39">
        <v>1</v>
      </c>
      <c r="B230" s="39">
        <v>1975</v>
      </c>
      <c r="C230" s="39">
        <v>5</v>
      </c>
      <c r="D230" s="39">
        <v>35</v>
      </c>
      <c r="E230" s="39">
        <v>5</v>
      </c>
      <c r="F230" s="40">
        <v>4.4878795774353037E-3</v>
      </c>
      <c r="G230" s="40">
        <v>2.2200158491579889E-2</v>
      </c>
      <c r="H230" s="41">
        <v>88282.868273715882</v>
      </c>
      <c r="I230" s="41">
        <v>1959.8936677677702</v>
      </c>
      <c r="J230" s="41">
        <v>436708.16784433107</v>
      </c>
      <c r="K230" s="40">
        <v>0.97425776024068012</v>
      </c>
      <c r="L230" s="41">
        <v>3528248.9939215044</v>
      </c>
      <c r="M230" s="42">
        <v>39.965273703867148</v>
      </c>
      <c r="N230" s="43">
        <v>2.5987607890950368</v>
      </c>
      <c r="O230" s="40">
        <v>0.97779984150842014</v>
      </c>
    </row>
    <row r="231" spans="1:15">
      <c r="A231" s="39">
        <v>1</v>
      </c>
      <c r="B231" s="39">
        <v>1975</v>
      </c>
      <c r="C231" s="39">
        <v>5</v>
      </c>
      <c r="D231" s="39">
        <v>40</v>
      </c>
      <c r="E231" s="39">
        <v>5</v>
      </c>
      <c r="F231" s="40">
        <v>5.9927382698263523E-3</v>
      </c>
      <c r="G231" s="40">
        <v>2.9536844842423939E-2</v>
      </c>
      <c r="H231" s="41">
        <v>86322.974605948111</v>
      </c>
      <c r="I231" s="41">
        <v>2549.7083072723908</v>
      </c>
      <c r="J231" s="41">
        <v>425466.32148282899</v>
      </c>
      <c r="K231" s="40">
        <v>0.96762440429007901</v>
      </c>
      <c r="L231" s="41">
        <v>3091540.8260771735</v>
      </c>
      <c r="M231" s="42">
        <v>35.813650307923353</v>
      </c>
      <c r="N231" s="43">
        <v>2.5885274682698327</v>
      </c>
      <c r="O231" s="40">
        <v>0.97046315515757609</v>
      </c>
    </row>
    <row r="232" spans="1:15">
      <c r="A232" s="39">
        <v>1</v>
      </c>
      <c r="B232" s="39">
        <v>1975</v>
      </c>
      <c r="C232" s="39">
        <v>5</v>
      </c>
      <c r="D232" s="39">
        <v>45</v>
      </c>
      <c r="E232" s="39">
        <v>5</v>
      </c>
      <c r="F232" s="40">
        <v>7.2880758405903705E-3</v>
      </c>
      <c r="G232" s="40">
        <v>3.5816194189433888E-2</v>
      </c>
      <c r="H232" s="41">
        <v>83773.26629867572</v>
      </c>
      <c r="I232" s="41">
        <v>3000.4395736365259</v>
      </c>
      <c r="J232" s="41">
        <v>411691.59587031364</v>
      </c>
      <c r="K232" s="40">
        <v>0.95621039787694118</v>
      </c>
      <c r="L232" s="41">
        <v>2666074.5045943446</v>
      </c>
      <c r="M232" s="42">
        <v>31.824884266646883</v>
      </c>
      <c r="N232" s="43">
        <v>2.608771832598789</v>
      </c>
      <c r="O232" s="40">
        <v>0.96418380581056606</v>
      </c>
    </row>
    <row r="233" spans="1:15">
      <c r="A233" s="39">
        <v>1</v>
      </c>
      <c r="B233" s="39">
        <v>1975</v>
      </c>
      <c r="C233" s="39">
        <v>5</v>
      </c>
      <c r="D233" s="39">
        <v>50</v>
      </c>
      <c r="E233" s="39">
        <v>5</v>
      </c>
      <c r="F233" s="40">
        <v>1.0864862982860034E-2</v>
      </c>
      <c r="G233" s="40">
        <v>5.295225208012086E-2</v>
      </c>
      <c r="H233" s="41">
        <v>80772.826725039195</v>
      </c>
      <c r="I233" s="41">
        <v>4277.1030819682055</v>
      </c>
      <c r="J233" s="41">
        <v>393663.78468974546</v>
      </c>
      <c r="K233" s="40">
        <v>0.93978979963527531</v>
      </c>
      <c r="L233" s="41">
        <v>2254382.9087240309</v>
      </c>
      <c r="M233" s="42">
        <v>27.910164842914714</v>
      </c>
      <c r="N233" s="43">
        <v>2.6151267014222634</v>
      </c>
      <c r="O233" s="40">
        <v>0.94704774791987911</v>
      </c>
    </row>
    <row r="234" spans="1:15">
      <c r="A234" s="39">
        <v>1</v>
      </c>
      <c r="B234" s="39">
        <v>1975</v>
      </c>
      <c r="C234" s="39">
        <v>5</v>
      </c>
      <c r="D234" s="39">
        <v>55</v>
      </c>
      <c r="E234" s="39">
        <v>5</v>
      </c>
      <c r="F234" s="40">
        <v>1.411864639068015E-2</v>
      </c>
      <c r="G234" s="40">
        <v>6.8282921503861352E-2</v>
      </c>
      <c r="H234" s="41">
        <v>76495.723643070989</v>
      </c>
      <c r="I234" s="41">
        <v>5223.3514929008816</v>
      </c>
      <c r="J234" s="41">
        <v>369961.20933724003</v>
      </c>
      <c r="K234" s="40">
        <v>0.91815834301569377</v>
      </c>
      <c r="L234" s="41">
        <v>1860719.1240342853</v>
      </c>
      <c r="M234" s="42">
        <v>24.324485545314925</v>
      </c>
      <c r="N234" s="43">
        <v>2.6035675762721544</v>
      </c>
      <c r="O234" s="40">
        <v>0.93171707849613861</v>
      </c>
    </row>
    <row r="235" spans="1:15">
      <c r="A235" s="39">
        <v>1</v>
      </c>
      <c r="B235" s="39">
        <v>1975</v>
      </c>
      <c r="C235" s="39">
        <v>5</v>
      </c>
      <c r="D235" s="39">
        <v>60</v>
      </c>
      <c r="E235" s="39">
        <v>5</v>
      </c>
      <c r="F235" s="40">
        <v>2.0570228926937141E-2</v>
      </c>
      <c r="G235" s="40">
        <v>9.8037377796291764E-2</v>
      </c>
      <c r="H235" s="41">
        <v>71272.372150170107</v>
      </c>
      <c r="I235" s="41">
        <v>6987.3564749241341</v>
      </c>
      <c r="J235" s="41">
        <v>339682.97094516252</v>
      </c>
      <c r="K235" s="40">
        <v>0.88206426576974106</v>
      </c>
      <c r="L235" s="41">
        <v>1490757.9146970452</v>
      </c>
      <c r="M235" s="42">
        <v>20.916350469660735</v>
      </c>
      <c r="N235" s="43">
        <v>2.6129899962103873</v>
      </c>
      <c r="O235" s="40">
        <v>0.90196262220370826</v>
      </c>
    </row>
    <row r="236" spans="1:15">
      <c r="A236" s="39">
        <v>1</v>
      </c>
      <c r="B236" s="39">
        <v>1975</v>
      </c>
      <c r="C236" s="39">
        <v>5</v>
      </c>
      <c r="D236" s="39">
        <v>65</v>
      </c>
      <c r="E236" s="39">
        <v>5</v>
      </c>
      <c r="F236" s="40">
        <v>2.9831074953549766E-2</v>
      </c>
      <c r="G236" s="40">
        <v>0.1390378849744269</v>
      </c>
      <c r="H236" s="41">
        <v>64285.015675245973</v>
      </c>
      <c r="I236" s="41">
        <v>8938.0526150340811</v>
      </c>
      <c r="J236" s="41">
        <v>299622.21036122908</v>
      </c>
      <c r="K236" s="40">
        <v>0.84643448307629077</v>
      </c>
      <c r="L236" s="41">
        <v>1151074.9437518828</v>
      </c>
      <c r="M236" s="42">
        <v>17.905804823426738</v>
      </c>
      <c r="N236" s="43">
        <v>2.5606690904540357</v>
      </c>
      <c r="O236" s="40">
        <v>0.86096211502557307</v>
      </c>
    </row>
    <row r="237" spans="1:15">
      <c r="A237" s="39">
        <v>1</v>
      </c>
      <c r="B237" s="39">
        <v>1975</v>
      </c>
      <c r="C237" s="39">
        <v>5</v>
      </c>
      <c r="D237" s="39">
        <v>70</v>
      </c>
      <c r="E237" s="39">
        <v>5</v>
      </c>
      <c r="F237" s="40">
        <v>3.7090735315869081E-2</v>
      </c>
      <c r="G237" s="40">
        <v>0.16995697745125304</v>
      </c>
      <c r="H237" s="41">
        <v>55346.963060211892</v>
      </c>
      <c r="I237" s="41">
        <v>9406.6025528197642</v>
      </c>
      <c r="J237" s="41">
        <v>253610.5707452826</v>
      </c>
      <c r="K237" s="40">
        <v>0.79987234907447802</v>
      </c>
      <c r="L237" s="41">
        <v>851452.73339065374</v>
      </c>
      <c r="M237" s="42">
        <v>15.383910630550034</v>
      </c>
      <c r="N237" s="43">
        <v>2.5417006909848627</v>
      </c>
      <c r="O237" s="40">
        <v>0.83004302254874696</v>
      </c>
    </row>
    <row r="238" spans="1:15">
      <c r="A238" s="39">
        <v>1</v>
      </c>
      <c r="B238" s="39">
        <v>1975</v>
      </c>
      <c r="C238" s="39">
        <v>5</v>
      </c>
      <c r="D238" s="39">
        <v>75</v>
      </c>
      <c r="E238" s="39">
        <v>5</v>
      </c>
      <c r="F238" s="40">
        <v>5.2805814288627059E-2</v>
      </c>
      <c r="G238" s="40">
        <v>0.23317145373776402</v>
      </c>
      <c r="H238" s="41">
        <v>45940.360507392128</v>
      </c>
      <c r="I238" s="41">
        <v>10711.980644745585</v>
      </c>
      <c r="J238" s="41">
        <v>202856.08297214829</v>
      </c>
      <c r="K238" s="40">
        <v>0.7510360976944932</v>
      </c>
      <c r="L238" s="41">
        <v>597842.16264537117</v>
      </c>
      <c r="M238" s="42">
        <v>13.013440818540685</v>
      </c>
      <c r="N238" s="43">
        <v>2.4938603368387677</v>
      </c>
      <c r="O238" s="40">
        <v>0.76682854626223595</v>
      </c>
    </row>
    <row r="239" spans="1:15">
      <c r="A239" s="39">
        <v>1</v>
      </c>
      <c r="B239" s="39">
        <v>1975</v>
      </c>
      <c r="C239" s="39">
        <v>5</v>
      </c>
      <c r="D239" s="39">
        <v>80</v>
      </c>
      <c r="E239" s="39">
        <v>5</v>
      </c>
      <c r="F239" s="40">
        <v>6.1065983494719686E-2</v>
      </c>
      <c r="G239" s="40">
        <v>0.26409217419162362</v>
      </c>
      <c r="H239" s="41">
        <v>35228.379862646543</v>
      </c>
      <c r="I239" s="41">
        <v>9303.5394311747368</v>
      </c>
      <c r="J239" s="41">
        <v>152352.24094899258</v>
      </c>
      <c r="K239" s="40">
        <v>0.71560366296371603</v>
      </c>
      <c r="L239" s="41">
        <v>394986.07967322285</v>
      </c>
      <c r="M239" s="42">
        <v>11.212155688488973</v>
      </c>
      <c r="N239" s="43">
        <v>2.4429453929625287</v>
      </c>
      <c r="O239" s="40">
        <v>0.73590782580837644</v>
      </c>
    </row>
    <row r="240" spans="1:15">
      <c r="A240" s="39">
        <v>1</v>
      </c>
      <c r="B240" s="39">
        <v>1975</v>
      </c>
      <c r="C240" s="39">
        <v>5</v>
      </c>
      <c r="D240" s="39">
        <v>85</v>
      </c>
      <c r="E240" s="39">
        <v>5</v>
      </c>
      <c r="F240" s="40">
        <v>7.3952206387578143E-2</v>
      </c>
      <c r="G240" s="40">
        <v>0.3109971759956312</v>
      </c>
      <c r="H240" s="41">
        <v>25924.840431471806</v>
      </c>
      <c r="I240" s="41">
        <v>8062.5521623250934</v>
      </c>
      <c r="J240" s="41">
        <v>109023.82168382974</v>
      </c>
      <c r="K240" s="40">
        <v>0.65423826298405641</v>
      </c>
      <c r="L240" s="41">
        <v>242633.83872423027</v>
      </c>
      <c r="M240" s="42">
        <v>9.3591256372664766</v>
      </c>
      <c r="N240" s="43">
        <v>2.4449305804443289</v>
      </c>
      <c r="O240" s="40">
        <v>0.68900282400436885</v>
      </c>
    </row>
    <row r="241" spans="1:15">
      <c r="A241" s="39">
        <v>1</v>
      </c>
      <c r="B241" s="39">
        <v>1975</v>
      </c>
      <c r="C241" s="39">
        <v>5</v>
      </c>
      <c r="D241" s="39">
        <v>90</v>
      </c>
      <c r="E241" s="39">
        <v>5</v>
      </c>
      <c r="F241" s="40">
        <v>9.8213514314711606E-2</v>
      </c>
      <c r="G241" s="40">
        <v>0.39218546971201423</v>
      </c>
      <c r="H241" s="41">
        <v>17862.288269146713</v>
      </c>
      <c r="I241" s="41">
        <v>7005.3299149667037</v>
      </c>
      <c r="J241" s="41">
        <v>71327.555722312274</v>
      </c>
      <c r="K241" s="40">
        <v>0.55347250379738988</v>
      </c>
      <c r="L241" s="41">
        <v>133610.01704040053</v>
      </c>
      <c r="M241" s="42">
        <v>7.4800056424564199</v>
      </c>
      <c r="N241" s="43">
        <v>2.432828169163141</v>
      </c>
      <c r="O241" s="40">
        <v>0.60781453028798582</v>
      </c>
    </row>
    <row r="242" spans="1:15">
      <c r="A242" s="39">
        <v>1</v>
      </c>
      <c r="B242" s="39">
        <v>1975</v>
      </c>
      <c r="C242" s="39">
        <v>5</v>
      </c>
      <c r="D242" s="39">
        <v>95</v>
      </c>
      <c r="E242" s="39">
        <v>5</v>
      </c>
      <c r="F242" s="40">
        <v>0.14304072501790882</v>
      </c>
      <c r="G242" s="40">
        <v>0.5201216394019319</v>
      </c>
      <c r="H242" s="41">
        <v>10856.958354180009</v>
      </c>
      <c r="I242" s="41">
        <v>5646.9389780946076</v>
      </c>
      <c r="J242" s="41">
        <v>39477.840855376016</v>
      </c>
      <c r="K242" s="40">
        <v>0.36614835027544501</v>
      </c>
      <c r="L242" s="41">
        <v>62282.461318088244</v>
      </c>
      <c r="M242" s="42">
        <v>5.7366399765279601</v>
      </c>
      <c r="N242" s="43">
        <v>2.3778801270984875</v>
      </c>
      <c r="O242" s="40">
        <v>0.4798783605980681</v>
      </c>
    </row>
    <row r="243" spans="1:15">
      <c r="A243" s="39">
        <v>1</v>
      </c>
      <c r="B243" s="39">
        <v>1975</v>
      </c>
      <c r="C243" s="39">
        <v>5</v>
      </c>
      <c r="D243" s="39">
        <v>100</v>
      </c>
      <c r="E243" s="39">
        <v>0</v>
      </c>
      <c r="F243" s="40">
        <v>0.22846332323768728</v>
      </c>
      <c r="G243" s="40">
        <v>1</v>
      </c>
      <c r="H243" s="41">
        <v>5210.0193760854017</v>
      </c>
      <c r="I243" s="41">
        <v>5210.0193760854017</v>
      </c>
      <c r="J243" s="41">
        <v>22804.620462712228</v>
      </c>
      <c r="K243" s="40">
        <v>0</v>
      </c>
      <c r="L243" s="41">
        <v>22804.620462712228</v>
      </c>
      <c r="M243" s="42">
        <v>4.3770701827690131</v>
      </c>
      <c r="N243" s="43">
        <v>4.3770701827690131</v>
      </c>
      <c r="O243" s="40">
        <v>0</v>
      </c>
    </row>
    <row r="244" spans="1:15">
      <c r="A244" s="44">
        <v>2</v>
      </c>
      <c r="B244" s="44">
        <v>1975</v>
      </c>
      <c r="C244" s="44">
        <v>5</v>
      </c>
      <c r="D244" s="44">
        <v>0</v>
      </c>
      <c r="E244" s="44">
        <v>1</v>
      </c>
      <c r="F244" s="45">
        <v>5.0841850273964394E-2</v>
      </c>
      <c r="G244" s="45">
        <v>4.8843678361452036E-2</v>
      </c>
      <c r="H244" s="46">
        <v>100000</v>
      </c>
      <c r="I244" s="46">
        <v>4884.3678361452039</v>
      </c>
      <c r="J244" s="46">
        <v>96069.828494153626</v>
      </c>
      <c r="K244" s="45">
        <v>0.94757750017746234</v>
      </c>
      <c r="L244" s="46">
        <v>7388674.8763390882</v>
      </c>
      <c r="M244" s="47">
        <v>73.886748763390884</v>
      </c>
      <c r="N244" s="48">
        <v>0.19535718076710029</v>
      </c>
      <c r="O244" s="45">
        <v>0.95115632163854791</v>
      </c>
    </row>
    <row r="245" spans="1:15">
      <c r="A245" s="44">
        <v>2</v>
      </c>
      <c r="B245" s="44">
        <v>1975</v>
      </c>
      <c r="C245" s="44">
        <v>5</v>
      </c>
      <c r="D245" s="44">
        <v>1</v>
      </c>
      <c r="E245" s="44">
        <v>4</v>
      </c>
      <c r="F245" s="45">
        <v>2.8427065053074109E-3</v>
      </c>
      <c r="G245" s="45">
        <v>1.1288828252172822E-2</v>
      </c>
      <c r="H245" s="46">
        <v>95115.632163854796</v>
      </c>
      <c r="I245" s="46">
        <v>1073.7440355946019</v>
      </c>
      <c r="J245" s="46">
        <v>377718.92159457755</v>
      </c>
      <c r="K245" s="45">
        <v>0.99116093590547161</v>
      </c>
      <c r="L245" s="46">
        <v>7292605.0478449343</v>
      </c>
      <c r="M245" s="47">
        <v>76.670941273691298</v>
      </c>
      <c r="N245" s="48">
        <v>1.444822071284122</v>
      </c>
      <c r="O245" s="45">
        <v>0.98871117174782719</v>
      </c>
    </row>
    <row r="246" spans="1:15">
      <c r="A246" s="44">
        <v>2</v>
      </c>
      <c r="B246" s="44">
        <v>1975</v>
      </c>
      <c r="C246" s="44">
        <v>5</v>
      </c>
      <c r="D246" s="44">
        <v>5</v>
      </c>
      <c r="E246" s="44">
        <v>5</v>
      </c>
      <c r="F246" s="45">
        <v>5.183462643511055E-4</v>
      </c>
      <c r="G246" s="45">
        <v>2.5883771327118448E-3</v>
      </c>
      <c r="H246" s="46">
        <v>94041.888128260194</v>
      </c>
      <c r="I246" s="46">
        <v>243.41587274822814</v>
      </c>
      <c r="J246" s="46">
        <v>469600.90095943038</v>
      </c>
      <c r="K246" s="45">
        <v>0.99757520041614878</v>
      </c>
      <c r="L246" s="46">
        <v>6914886.1262503564</v>
      </c>
      <c r="M246" s="47">
        <v>73.529852110363876</v>
      </c>
      <c r="N246" s="48">
        <v>2.5</v>
      </c>
      <c r="O246" s="45">
        <v>0.99741162286728813</v>
      </c>
    </row>
    <row r="247" spans="1:15">
      <c r="A247" s="44">
        <v>2</v>
      </c>
      <c r="B247" s="44">
        <v>1975</v>
      </c>
      <c r="C247" s="44">
        <v>5</v>
      </c>
      <c r="D247" s="44">
        <v>10</v>
      </c>
      <c r="E247" s="44">
        <v>5</v>
      </c>
      <c r="F247" s="45">
        <v>4.5267120614175609E-4</v>
      </c>
      <c r="G247" s="45">
        <v>2.2607975358403024E-3</v>
      </c>
      <c r="H247" s="46">
        <v>93798.472255511966</v>
      </c>
      <c r="I247" s="46">
        <v>212.05935494083678</v>
      </c>
      <c r="J247" s="46">
        <v>468462.21289020777</v>
      </c>
      <c r="K247" s="45">
        <v>0.99718357822125636</v>
      </c>
      <c r="L247" s="46">
        <v>6445285.2252909262</v>
      </c>
      <c r="M247" s="47">
        <v>68.714181268684527</v>
      </c>
      <c r="N247" s="48">
        <v>2.5</v>
      </c>
      <c r="O247" s="45">
        <v>0.9977392024641597</v>
      </c>
    </row>
    <row r="248" spans="1:15">
      <c r="A248" s="44">
        <v>2</v>
      </c>
      <c r="B248" s="44">
        <v>1975</v>
      </c>
      <c r="C248" s="44">
        <v>5</v>
      </c>
      <c r="D248" s="44">
        <v>15</v>
      </c>
      <c r="E248" s="44">
        <v>5</v>
      </c>
      <c r="F248" s="45">
        <v>7.1624012608585501E-4</v>
      </c>
      <c r="G248" s="45">
        <v>3.5751603893937269E-3</v>
      </c>
      <c r="H248" s="46">
        <v>93586.412900571129</v>
      </c>
      <c r="I248" s="46">
        <v>334.58643638757349</v>
      </c>
      <c r="J248" s="46">
        <v>467142.82571130537</v>
      </c>
      <c r="K248" s="45">
        <v>0.99596392505540399</v>
      </c>
      <c r="L248" s="46">
        <v>5976823.0124007184</v>
      </c>
      <c r="M248" s="47">
        <v>63.86421732768693</v>
      </c>
      <c r="N248" s="48">
        <v>2.6411512670046626</v>
      </c>
      <c r="O248" s="45">
        <v>0.99642483961060624</v>
      </c>
    </row>
    <row r="249" spans="1:15">
      <c r="A249" s="44">
        <v>2</v>
      </c>
      <c r="B249" s="44">
        <v>1975</v>
      </c>
      <c r="C249" s="44">
        <v>5</v>
      </c>
      <c r="D249" s="44">
        <v>20</v>
      </c>
      <c r="E249" s="44">
        <v>5</v>
      </c>
      <c r="F249" s="45">
        <v>8.9771669182410084E-4</v>
      </c>
      <c r="G249" s="45">
        <v>4.478940004045525E-3</v>
      </c>
      <c r="H249" s="46">
        <v>93251.826464183556</v>
      </c>
      <c r="I249" s="46">
        <v>417.66933600073389</v>
      </c>
      <c r="J249" s="46">
        <v>465257.40225690417</v>
      </c>
      <c r="K249" s="45">
        <v>0.99487163315482019</v>
      </c>
      <c r="L249" s="46">
        <v>5509680.1866894132</v>
      </c>
      <c r="M249" s="47">
        <v>59.083884955385706</v>
      </c>
      <c r="N249" s="48">
        <v>2.6016193249775057</v>
      </c>
      <c r="O249" s="45">
        <v>0.99552105999595453</v>
      </c>
    </row>
    <row r="250" spans="1:15">
      <c r="A250" s="44">
        <v>2</v>
      </c>
      <c r="B250" s="44">
        <v>1975</v>
      </c>
      <c r="C250" s="44">
        <v>5</v>
      </c>
      <c r="D250" s="44">
        <v>25</v>
      </c>
      <c r="E250" s="44">
        <v>5</v>
      </c>
      <c r="F250" s="45">
        <v>1.1770486133571927E-3</v>
      </c>
      <c r="G250" s="45">
        <v>5.8687679893250754E-3</v>
      </c>
      <c r="H250" s="46">
        <v>92834.157128182822</v>
      </c>
      <c r="I250" s="46">
        <v>544.82212966986117</v>
      </c>
      <c r="J250" s="46">
        <v>462871.39162069536</v>
      </c>
      <c r="K250" s="45">
        <v>0.99321511855384936</v>
      </c>
      <c r="L250" s="46">
        <v>5044422.784432509</v>
      </c>
      <c r="M250" s="47">
        <v>54.338003817574496</v>
      </c>
      <c r="N250" s="48">
        <v>2.6150124059642637</v>
      </c>
      <c r="O250" s="45">
        <v>0.99413123201067488</v>
      </c>
    </row>
    <row r="251" spans="1:15">
      <c r="A251" s="44">
        <v>2</v>
      </c>
      <c r="B251" s="44">
        <v>1975</v>
      </c>
      <c r="C251" s="44">
        <v>5</v>
      </c>
      <c r="D251" s="44">
        <v>30</v>
      </c>
      <c r="E251" s="44">
        <v>5</v>
      </c>
      <c r="F251" s="45">
        <v>1.5776387802394238E-3</v>
      </c>
      <c r="G251" s="45">
        <v>7.8588629953257102E-3</v>
      </c>
      <c r="H251" s="46">
        <v>92289.334998512961</v>
      </c>
      <c r="I251" s="46">
        <v>725.28923968302843</v>
      </c>
      <c r="J251" s="46">
        <v>459730.8641037342</v>
      </c>
      <c r="K251" s="45">
        <v>0.99051627605904269</v>
      </c>
      <c r="L251" s="46">
        <v>4581551.3928118134</v>
      </c>
      <c r="M251" s="47">
        <v>49.643346036523454</v>
      </c>
      <c r="N251" s="48">
        <v>2.6343080871013069</v>
      </c>
      <c r="O251" s="45">
        <v>0.99214113700467432</v>
      </c>
    </row>
    <row r="252" spans="1:15">
      <c r="A252" s="44">
        <v>2</v>
      </c>
      <c r="B252" s="44">
        <v>1975</v>
      </c>
      <c r="C252" s="44">
        <v>5</v>
      </c>
      <c r="D252" s="44">
        <v>35</v>
      </c>
      <c r="E252" s="44">
        <v>5</v>
      </c>
      <c r="F252" s="45">
        <v>2.2783815310129458E-3</v>
      </c>
      <c r="G252" s="45">
        <v>1.1330961270879623E-2</v>
      </c>
      <c r="H252" s="46">
        <v>91564.045758829932</v>
      </c>
      <c r="I252" s="46">
        <v>1037.5086562983488</v>
      </c>
      <c r="J252" s="46">
        <v>455370.90350143664</v>
      </c>
      <c r="K252" s="45">
        <v>0.98656350321539588</v>
      </c>
      <c r="L252" s="46">
        <v>4121820.5287080794</v>
      </c>
      <c r="M252" s="47">
        <v>45.01570998254622</v>
      </c>
      <c r="N252" s="48">
        <v>2.6392242340880463</v>
      </c>
      <c r="O252" s="45">
        <v>0.98866903872912038</v>
      </c>
    </row>
    <row r="253" spans="1:15">
      <c r="A253" s="44">
        <v>2</v>
      </c>
      <c r="B253" s="44">
        <v>1975</v>
      </c>
      <c r="C253" s="44">
        <v>5</v>
      </c>
      <c r="D253" s="44">
        <v>40</v>
      </c>
      <c r="E253" s="44">
        <v>5</v>
      </c>
      <c r="F253" s="45">
        <v>3.148699231875387E-3</v>
      </c>
      <c r="G253" s="45">
        <v>1.562591987632804E-2</v>
      </c>
      <c r="H253" s="46">
        <v>90526.537102531584</v>
      </c>
      <c r="I253" s="46">
        <v>1414.5604154456087</v>
      </c>
      <c r="J253" s="46">
        <v>449252.3138207373</v>
      </c>
      <c r="K253" s="45">
        <v>0.9824909434601754</v>
      </c>
      <c r="L253" s="46">
        <v>3666449.6252066428</v>
      </c>
      <c r="M253" s="47">
        <v>40.501379402748746</v>
      </c>
      <c r="N253" s="48">
        <v>2.610302356116935</v>
      </c>
      <c r="O253" s="45">
        <v>0.984374080123672</v>
      </c>
    </row>
    <row r="254" spans="1:15">
      <c r="A254" s="44">
        <v>2</v>
      </c>
      <c r="B254" s="44">
        <v>1975</v>
      </c>
      <c r="C254" s="44">
        <v>5</v>
      </c>
      <c r="D254" s="44">
        <v>45</v>
      </c>
      <c r="E254" s="44">
        <v>5</v>
      </c>
      <c r="F254" s="45">
        <v>3.9924442517313167E-3</v>
      </c>
      <c r="G254" s="45">
        <v>1.9775235385266234E-2</v>
      </c>
      <c r="H254" s="46">
        <v>89111.976687085975</v>
      </c>
      <c r="I254" s="46">
        <v>1762.2103146334703</v>
      </c>
      <c r="J254" s="46">
        <v>441386.329657403</v>
      </c>
      <c r="K254" s="45">
        <v>0.97528943282637492</v>
      </c>
      <c r="L254" s="46">
        <v>3217197.3113859054</v>
      </c>
      <c r="M254" s="47">
        <v>36.102861040587136</v>
      </c>
      <c r="N254" s="48">
        <v>2.6316369599192977</v>
      </c>
      <c r="O254" s="45">
        <v>0.98022476461473373</v>
      </c>
    </row>
    <row r="255" spans="1:15">
      <c r="A255" s="44">
        <v>2</v>
      </c>
      <c r="B255" s="44">
        <v>1975</v>
      </c>
      <c r="C255" s="44">
        <v>5</v>
      </c>
      <c r="D255" s="44">
        <v>50</v>
      </c>
      <c r="E255" s="44">
        <v>5</v>
      </c>
      <c r="F255" s="45">
        <v>6.1642795928290679E-3</v>
      </c>
      <c r="G255" s="45">
        <v>3.0378965316154385E-2</v>
      </c>
      <c r="H255" s="46">
        <v>87349.766372452505</v>
      </c>
      <c r="I255" s="46">
        <v>2653.5955230029358</v>
      </c>
      <c r="J255" s="46">
        <v>430479.4231088839</v>
      </c>
      <c r="K255" s="45">
        <v>0.96501237603343626</v>
      </c>
      <c r="L255" s="46">
        <v>2775810.9817285025</v>
      </c>
      <c r="M255" s="47">
        <v>31.778115695154394</v>
      </c>
      <c r="N255" s="48">
        <v>2.6373909666971955</v>
      </c>
      <c r="O255" s="45">
        <v>0.96962103468384564</v>
      </c>
    </row>
    <row r="256" spans="1:15">
      <c r="A256" s="44">
        <v>2</v>
      </c>
      <c r="B256" s="44">
        <v>1975</v>
      </c>
      <c r="C256" s="44">
        <v>5</v>
      </c>
      <c r="D256" s="44">
        <v>55</v>
      </c>
      <c r="E256" s="44">
        <v>5</v>
      </c>
      <c r="F256" s="45">
        <v>8.2113970534034766E-3</v>
      </c>
      <c r="G256" s="45">
        <v>4.0275278896266822E-2</v>
      </c>
      <c r="H256" s="46">
        <v>84696.170849449569</v>
      </c>
      <c r="I256" s="46">
        <v>3411.1619024074462</v>
      </c>
      <c r="J256" s="46">
        <v>415417.97092780698</v>
      </c>
      <c r="K256" s="45">
        <v>0.9496912965283284</v>
      </c>
      <c r="L256" s="46">
        <v>2345331.5586196189</v>
      </c>
      <c r="M256" s="47">
        <v>27.691116789548001</v>
      </c>
      <c r="N256" s="48">
        <v>2.6363234727292117</v>
      </c>
      <c r="O256" s="45">
        <v>0.95972472110373319</v>
      </c>
    </row>
    <row r="257" spans="1:15">
      <c r="A257" s="44">
        <v>2</v>
      </c>
      <c r="B257" s="44">
        <v>1975</v>
      </c>
      <c r="C257" s="44">
        <v>5</v>
      </c>
      <c r="D257" s="44">
        <v>60</v>
      </c>
      <c r="E257" s="44">
        <v>5</v>
      </c>
      <c r="F257" s="45">
        <v>1.2874362297808297E-2</v>
      </c>
      <c r="G257" s="45">
        <v>6.2486040595873871E-2</v>
      </c>
      <c r="H257" s="46">
        <v>81285.008947042123</v>
      </c>
      <c r="I257" s="46">
        <v>5079.1783689008444</v>
      </c>
      <c r="J257" s="46">
        <v>394518.83141159645</v>
      </c>
      <c r="K257" s="45">
        <v>0.92234491696482168</v>
      </c>
      <c r="L257" s="46">
        <v>1929913.5876918118</v>
      </c>
      <c r="M257" s="47">
        <v>23.742552442224213</v>
      </c>
      <c r="N257" s="48">
        <v>2.6558780852205546</v>
      </c>
      <c r="O257" s="45">
        <v>0.93751395940412618</v>
      </c>
    </row>
    <row r="258" spans="1:15">
      <c r="A258" s="44">
        <v>2</v>
      </c>
      <c r="B258" s="44">
        <v>1975</v>
      </c>
      <c r="C258" s="44">
        <v>5</v>
      </c>
      <c r="D258" s="44">
        <v>65</v>
      </c>
      <c r="E258" s="44">
        <v>5</v>
      </c>
      <c r="F258" s="45">
        <v>1.9736732745083613E-2</v>
      </c>
      <c r="G258" s="45">
        <v>9.4242794688111184E-2</v>
      </c>
      <c r="H258" s="46">
        <v>76205.830578141278</v>
      </c>
      <c r="I258" s="46">
        <v>7181.8504452127527</v>
      </c>
      <c r="J258" s="46">
        <v>363882.43879938743</v>
      </c>
      <c r="K258" s="45">
        <v>0.89121429886682091</v>
      </c>
      <c r="L258" s="46">
        <v>1535394.7562802155</v>
      </c>
      <c r="M258" s="47">
        <v>20.147995824359203</v>
      </c>
      <c r="N258" s="48">
        <v>2.6124935736097759</v>
      </c>
      <c r="O258" s="45">
        <v>0.90575720531188886</v>
      </c>
    </row>
    <row r="259" spans="1:15">
      <c r="A259" s="44">
        <v>2</v>
      </c>
      <c r="B259" s="44">
        <v>1975</v>
      </c>
      <c r="C259" s="44">
        <v>5</v>
      </c>
      <c r="D259" s="44">
        <v>70</v>
      </c>
      <c r="E259" s="44">
        <v>5</v>
      </c>
      <c r="F259" s="45">
        <v>2.6912056839362382E-2</v>
      </c>
      <c r="G259" s="45">
        <v>0.12644164446641956</v>
      </c>
      <c r="H259" s="46">
        <v>69023.980132928526</v>
      </c>
      <c r="I259" s="46">
        <v>8727.5055556249645</v>
      </c>
      <c r="J259" s="46">
        <v>324297.23256454495</v>
      </c>
      <c r="K259" s="45">
        <v>0.83791402541509852</v>
      </c>
      <c r="L259" s="46">
        <v>1171512.3174808281</v>
      </c>
      <c r="M259" s="47">
        <v>16.972540778214952</v>
      </c>
      <c r="N259" s="48">
        <v>2.6141329309521599</v>
      </c>
      <c r="O259" s="45">
        <v>0.87355835553358041</v>
      </c>
    </row>
    <row r="260" spans="1:15">
      <c r="A260" s="44">
        <v>2</v>
      </c>
      <c r="B260" s="44">
        <v>1975</v>
      </c>
      <c r="C260" s="44">
        <v>5</v>
      </c>
      <c r="D260" s="44">
        <v>75</v>
      </c>
      <c r="E260" s="44">
        <v>5</v>
      </c>
      <c r="F260" s="45">
        <v>4.467616521922424E-2</v>
      </c>
      <c r="G260" s="45">
        <v>0.20133842657641446</v>
      </c>
      <c r="H260" s="46">
        <v>60296.474577303561</v>
      </c>
      <c r="I260" s="46">
        <v>12139.997319499074</v>
      </c>
      <c r="J260" s="46">
        <v>271733.19956913422</v>
      </c>
      <c r="K260" s="45">
        <v>0.78079537976492863</v>
      </c>
      <c r="L260" s="46">
        <v>847215.08491628314</v>
      </c>
      <c r="M260" s="47">
        <v>14.050822885674759</v>
      </c>
      <c r="N260" s="48">
        <v>2.5494909484369561</v>
      </c>
      <c r="O260" s="45">
        <v>0.79866157342358557</v>
      </c>
    </row>
    <row r="261" spans="1:15">
      <c r="A261" s="44">
        <v>2</v>
      </c>
      <c r="B261" s="44">
        <v>1975</v>
      </c>
      <c r="C261" s="44">
        <v>5</v>
      </c>
      <c r="D261" s="44">
        <v>80</v>
      </c>
      <c r="E261" s="44">
        <v>5</v>
      </c>
      <c r="F261" s="45">
        <v>5.335099353432133E-2</v>
      </c>
      <c r="G261" s="45">
        <v>0.23505405021332476</v>
      </c>
      <c r="H261" s="46">
        <v>48156.477257804487</v>
      </c>
      <c r="I261" s="46">
        <v>11319.375023452812</v>
      </c>
      <c r="J261" s="46">
        <v>212168.02675232128</v>
      </c>
      <c r="K261" s="45">
        <v>0.74299906056789444</v>
      </c>
      <c r="L261" s="46">
        <v>575481.88534714887</v>
      </c>
      <c r="M261" s="47">
        <v>11.950248816297776</v>
      </c>
      <c r="N261" s="48">
        <v>2.4720901571496166</v>
      </c>
      <c r="O261" s="45">
        <v>0.76494594978667529</v>
      </c>
    </row>
    <row r="262" spans="1:15">
      <c r="A262" s="44">
        <v>2</v>
      </c>
      <c r="B262" s="44">
        <v>1975</v>
      </c>
      <c r="C262" s="44">
        <v>5</v>
      </c>
      <c r="D262" s="44">
        <v>85</v>
      </c>
      <c r="E262" s="44">
        <v>5</v>
      </c>
      <c r="F262" s="45">
        <v>6.6618534358313816E-2</v>
      </c>
      <c r="G262" s="45">
        <v>0.28508726416764135</v>
      </c>
      <c r="H262" s="46">
        <v>36837.102234351674</v>
      </c>
      <c r="I262" s="46">
        <v>10501.788695855026</v>
      </c>
      <c r="J262" s="46">
        <v>157640.64455951861</v>
      </c>
      <c r="K262" s="45">
        <v>0.6784807781156631</v>
      </c>
      <c r="L262" s="46">
        <v>363313.85859482759</v>
      </c>
      <c r="M262" s="47">
        <v>9.8627154840650526</v>
      </c>
      <c r="N262" s="48">
        <v>2.472348056030035</v>
      </c>
      <c r="O262" s="45">
        <v>0.71491273583235859</v>
      </c>
    </row>
    <row r="263" spans="1:15">
      <c r="A263" s="44">
        <v>2</v>
      </c>
      <c r="B263" s="44">
        <v>1975</v>
      </c>
      <c r="C263" s="44">
        <v>5</v>
      </c>
      <c r="D263" s="44">
        <v>90</v>
      </c>
      <c r="E263" s="44">
        <v>5</v>
      </c>
      <c r="F263" s="45">
        <v>9.0953520568593599E-2</v>
      </c>
      <c r="G263" s="45">
        <v>0.36939139222938355</v>
      </c>
      <c r="H263" s="46">
        <v>26335.313538496648</v>
      </c>
      <c r="I263" s="46">
        <v>9728.0381327826108</v>
      </c>
      <c r="J263" s="46">
        <v>106956.14718339685</v>
      </c>
      <c r="K263" s="45">
        <v>0.57395453024639653</v>
      </c>
      <c r="L263" s="46">
        <v>205673.21403530901</v>
      </c>
      <c r="M263" s="47">
        <v>7.8097879387180393</v>
      </c>
      <c r="N263" s="48">
        <v>2.4588483133324899</v>
      </c>
      <c r="O263" s="45">
        <v>0.63060860777061645</v>
      </c>
    </row>
    <row r="264" spans="1:15">
      <c r="A264" s="44">
        <v>2</v>
      </c>
      <c r="B264" s="44">
        <v>1975</v>
      </c>
      <c r="C264" s="44">
        <v>5</v>
      </c>
      <c r="D264" s="44">
        <v>95</v>
      </c>
      <c r="E264" s="44">
        <v>5</v>
      </c>
      <c r="F264" s="45">
        <v>0.13577375607034073</v>
      </c>
      <c r="G264" s="45">
        <v>0.50188091730565354</v>
      </c>
      <c r="H264" s="46">
        <v>16607.275405714037</v>
      </c>
      <c r="I264" s="46">
        <v>8334.8746145673813</v>
      </c>
      <c r="J264" s="46">
        <v>61387.965213610994</v>
      </c>
      <c r="K264" s="45">
        <v>0.37814232967739453</v>
      </c>
      <c r="L264" s="46">
        <v>98717.066851912154</v>
      </c>
      <c r="M264" s="47">
        <v>5.9442060446559912</v>
      </c>
      <c r="N264" s="48">
        <v>2.4026709679443874</v>
      </c>
      <c r="O264" s="45">
        <v>0.49811908269434646</v>
      </c>
    </row>
    <row r="265" spans="1:15">
      <c r="A265" s="44">
        <v>2</v>
      </c>
      <c r="B265" s="44">
        <v>1975</v>
      </c>
      <c r="C265" s="44">
        <v>5</v>
      </c>
      <c r="D265" s="44">
        <v>100</v>
      </c>
      <c r="E265" s="44">
        <v>0</v>
      </c>
      <c r="F265" s="45">
        <v>0.22160728300674776</v>
      </c>
      <c r="G265" s="45">
        <v>1</v>
      </c>
      <c r="H265" s="46">
        <v>8272.400791146656</v>
      </c>
      <c r="I265" s="46">
        <v>8272.400791146656</v>
      </c>
      <c r="J265" s="46">
        <v>37329.101638301159</v>
      </c>
      <c r="K265" s="45">
        <v>0</v>
      </c>
      <c r="L265" s="46">
        <v>37329.101638301159</v>
      </c>
      <c r="M265" s="47">
        <v>4.5124870736741576</v>
      </c>
      <c r="N265" s="48">
        <v>4.5124870736741576</v>
      </c>
      <c r="O265" s="45">
        <v>0</v>
      </c>
    </row>
    <row r="266" spans="1:15">
      <c r="A266" s="39">
        <v>1</v>
      </c>
      <c r="B266" s="39">
        <v>1980</v>
      </c>
      <c r="C266" s="39">
        <v>5</v>
      </c>
      <c r="D266" s="39">
        <v>0</v>
      </c>
      <c r="E266" s="39">
        <v>1</v>
      </c>
      <c r="F266" s="40">
        <v>4.5918358805362602E-2</v>
      </c>
      <c r="G266" s="40">
        <v>4.4229123402421973E-2</v>
      </c>
      <c r="H266" s="41">
        <v>100000</v>
      </c>
      <c r="I266" s="41">
        <v>4422.9123402421974</v>
      </c>
      <c r="J266" s="41">
        <v>96321.219993726394</v>
      </c>
      <c r="K266" s="40">
        <v>0.95325391625594647</v>
      </c>
      <c r="L266" s="41">
        <v>6907385.8971552094</v>
      </c>
      <c r="M266" s="42">
        <v>69.073858971552099</v>
      </c>
      <c r="N266" s="43">
        <v>0.16824487503359323</v>
      </c>
      <c r="O266" s="40">
        <v>0.95577087659757798</v>
      </c>
    </row>
    <row r="267" spans="1:15">
      <c r="A267" s="39">
        <v>1</v>
      </c>
      <c r="B267" s="39">
        <v>1980</v>
      </c>
      <c r="C267" s="39">
        <v>5</v>
      </c>
      <c r="D267" s="39">
        <v>1</v>
      </c>
      <c r="E267" s="39">
        <v>4</v>
      </c>
      <c r="F267" s="40">
        <v>2.1247561743236638E-3</v>
      </c>
      <c r="G267" s="40">
        <v>8.4545049971394629E-3</v>
      </c>
      <c r="H267" s="41">
        <v>95577.087659757803</v>
      </c>
      <c r="I267" s="41">
        <v>808.05696523145889</v>
      </c>
      <c r="J267" s="41">
        <v>380305.73813424679</v>
      </c>
      <c r="K267" s="40">
        <v>0.99263731579047365</v>
      </c>
      <c r="L267" s="41">
        <v>6811064.6771614831</v>
      </c>
      <c r="M267" s="42">
        <v>71.262525820079404</v>
      </c>
      <c r="N267" s="43">
        <v>1.5216939016040989</v>
      </c>
      <c r="O267" s="40">
        <v>0.99154549500286049</v>
      </c>
    </row>
    <row r="268" spans="1:15">
      <c r="A268" s="39">
        <v>1</v>
      </c>
      <c r="B268" s="39">
        <v>1980</v>
      </c>
      <c r="C268" s="39">
        <v>5</v>
      </c>
      <c r="D268" s="39">
        <v>5</v>
      </c>
      <c r="E268" s="39">
        <v>5</v>
      </c>
      <c r="F268" s="40">
        <v>6.1502591546607139E-4</v>
      </c>
      <c r="G268" s="40">
        <v>3.0704086251415255E-3</v>
      </c>
      <c r="H268" s="41">
        <v>94769.030694526344</v>
      </c>
      <c r="I268" s="41">
        <v>290.97964924077678</v>
      </c>
      <c r="J268" s="41">
        <v>473117.70434952975</v>
      </c>
      <c r="K268" s="40">
        <v>0.99687371549166626</v>
      </c>
      <c r="L268" s="41">
        <v>6430758.9390272358</v>
      </c>
      <c r="M268" s="42">
        <v>67.857177517788656</v>
      </c>
      <c r="N268" s="43">
        <v>2.5</v>
      </c>
      <c r="O268" s="40">
        <v>0.99692959137485848</v>
      </c>
    </row>
    <row r="269" spans="1:15">
      <c r="A269" s="39">
        <v>1</v>
      </c>
      <c r="B269" s="39">
        <v>1980</v>
      </c>
      <c r="C269" s="39">
        <v>5</v>
      </c>
      <c r="D269" s="39">
        <v>10</v>
      </c>
      <c r="E269" s="39">
        <v>5</v>
      </c>
      <c r="F269" s="40">
        <v>6.3748083432419399E-4</v>
      </c>
      <c r="G269" s="40">
        <v>3.1823324817071307E-3</v>
      </c>
      <c r="H269" s="41">
        <v>94478.051045285567</v>
      </c>
      <c r="I269" s="41">
        <v>300.6605706497794</v>
      </c>
      <c r="J269" s="41">
        <v>471638.60379980342</v>
      </c>
      <c r="K269" s="40">
        <v>0.99518023677379719</v>
      </c>
      <c r="L269" s="41">
        <v>5957641.2346777059</v>
      </c>
      <c r="M269" s="42">
        <v>63.058468805861239</v>
      </c>
      <c r="N269" s="43">
        <v>2.5</v>
      </c>
      <c r="O269" s="40">
        <v>0.99681766751829282</v>
      </c>
    </row>
    <row r="270" spans="1:15">
      <c r="A270" s="39">
        <v>1</v>
      </c>
      <c r="B270" s="39">
        <v>1980</v>
      </c>
      <c r="C270" s="39">
        <v>5</v>
      </c>
      <c r="D270" s="39">
        <v>15</v>
      </c>
      <c r="E270" s="39">
        <v>5</v>
      </c>
      <c r="F270" s="40">
        <v>1.4455167233688707E-3</v>
      </c>
      <c r="G270" s="40">
        <v>7.2042297711264842E-3</v>
      </c>
      <c r="H270" s="41">
        <v>94177.390474635788</v>
      </c>
      <c r="I270" s="41">
        <v>678.47556022438221</v>
      </c>
      <c r="J270" s="41">
        <v>469365.4174011515</v>
      </c>
      <c r="K270" s="40">
        <v>0.99079169578868831</v>
      </c>
      <c r="L270" s="41">
        <v>5486002.6308779027</v>
      </c>
      <c r="M270" s="42">
        <v>58.251801236257592</v>
      </c>
      <c r="N270" s="43">
        <v>2.7574211051548829</v>
      </c>
      <c r="O270" s="40">
        <v>0.99279577022887355</v>
      </c>
    </row>
    <row r="271" spans="1:15">
      <c r="A271" s="39">
        <v>1</v>
      </c>
      <c r="B271" s="39">
        <v>1980</v>
      </c>
      <c r="C271" s="39">
        <v>5</v>
      </c>
      <c r="D271" s="39">
        <v>20</v>
      </c>
      <c r="E271" s="39">
        <v>5</v>
      </c>
      <c r="F271" s="40">
        <v>2.225196899300464E-3</v>
      </c>
      <c r="G271" s="40">
        <v>1.1067647564451335E-2</v>
      </c>
      <c r="H271" s="41">
        <v>93498.914914411405</v>
      </c>
      <c r="I271" s="41">
        <v>1034.8130379313225</v>
      </c>
      <c r="J271" s="41">
        <v>465043.35785145243</v>
      </c>
      <c r="K271" s="40">
        <v>0.98752553454153247</v>
      </c>
      <c r="L271" s="41">
        <v>5016637.213476751</v>
      </c>
      <c r="M271" s="42">
        <v>53.654496611741045</v>
      </c>
      <c r="N271" s="43">
        <v>2.631246775258286</v>
      </c>
      <c r="O271" s="40">
        <v>0.98893235243554867</v>
      </c>
    </row>
    <row r="272" spans="1:15">
      <c r="A272" s="39">
        <v>1</v>
      </c>
      <c r="B272" s="39">
        <v>1980</v>
      </c>
      <c r="C272" s="39">
        <v>5</v>
      </c>
      <c r="D272" s="39">
        <v>25</v>
      </c>
      <c r="E272" s="39">
        <v>5</v>
      </c>
      <c r="F272" s="40">
        <v>2.7751459541422458E-3</v>
      </c>
      <c r="G272" s="40">
        <v>1.3783339492889094E-2</v>
      </c>
      <c r="H272" s="41">
        <v>92464.101876480083</v>
      </c>
      <c r="I272" s="41">
        <v>1274.4641070686193</v>
      </c>
      <c r="J272" s="41">
        <v>459242.19054724474</v>
      </c>
      <c r="K272" s="40">
        <v>0.9846501530437225</v>
      </c>
      <c r="L272" s="41">
        <v>4551593.8556252988</v>
      </c>
      <c r="M272" s="42">
        <v>49.225523887158189</v>
      </c>
      <c r="N272" s="43">
        <v>2.5846170809501201</v>
      </c>
      <c r="O272" s="40">
        <v>0.98621666050711088</v>
      </c>
    </row>
    <row r="273" spans="1:15">
      <c r="A273" s="39">
        <v>1</v>
      </c>
      <c r="B273" s="39">
        <v>1980</v>
      </c>
      <c r="C273" s="39">
        <v>5</v>
      </c>
      <c r="D273" s="39">
        <v>30</v>
      </c>
      <c r="E273" s="39">
        <v>5</v>
      </c>
      <c r="F273" s="40">
        <v>3.4341136377380992E-3</v>
      </c>
      <c r="G273" s="40">
        <v>1.7029147383777785E-2</v>
      </c>
      <c r="H273" s="41">
        <v>91189.637769411464</v>
      </c>
      <c r="I273" s="41">
        <v>1552.8817814486101</v>
      </c>
      <c r="J273" s="41">
        <v>452192.89320647891</v>
      </c>
      <c r="K273" s="40">
        <v>0.98109921449279791</v>
      </c>
      <c r="L273" s="41">
        <v>4092351.6650780537</v>
      </c>
      <c r="M273" s="42">
        <v>44.87737603943841</v>
      </c>
      <c r="N273" s="43">
        <v>2.5817247098647527</v>
      </c>
      <c r="O273" s="40">
        <v>0.98297085261622219</v>
      </c>
    </row>
    <row r="274" spans="1:15">
      <c r="A274" s="39">
        <v>1</v>
      </c>
      <c r="B274" s="39">
        <v>1980</v>
      </c>
      <c r="C274" s="39">
        <v>5</v>
      </c>
      <c r="D274" s="39">
        <v>35</v>
      </c>
      <c r="E274" s="39">
        <v>5</v>
      </c>
      <c r="F274" s="40">
        <v>4.2517177835084486E-3</v>
      </c>
      <c r="G274" s="40">
        <v>2.1043353918025746E-2</v>
      </c>
      <c r="H274" s="41">
        <v>89636.755987962853</v>
      </c>
      <c r="I274" s="41">
        <v>1886.2579803184199</v>
      </c>
      <c r="J274" s="41">
        <v>443646.09232410212</v>
      </c>
      <c r="K274" s="40">
        <v>0.97572129344564906</v>
      </c>
      <c r="L274" s="41">
        <v>3640158.7718715747</v>
      </c>
      <c r="M274" s="42">
        <v>40.610112801944823</v>
      </c>
      <c r="N274" s="43">
        <v>2.5943441124918989</v>
      </c>
      <c r="O274" s="40">
        <v>0.9789566460819743</v>
      </c>
    </row>
    <row r="275" spans="1:15">
      <c r="A275" s="39">
        <v>1</v>
      </c>
      <c r="B275" s="39">
        <v>1980</v>
      </c>
      <c r="C275" s="39">
        <v>5</v>
      </c>
      <c r="D275" s="39">
        <v>40</v>
      </c>
      <c r="E275" s="39">
        <v>5</v>
      </c>
      <c r="F275" s="40">
        <v>5.6357361153131077E-3</v>
      </c>
      <c r="G275" s="40">
        <v>2.7801197517062778E-2</v>
      </c>
      <c r="H275" s="41">
        <v>87750.498007644434</v>
      </c>
      <c r="I275" s="41">
        <v>2439.5689273311436</v>
      </c>
      <c r="J275" s="41">
        <v>432874.93903458078</v>
      </c>
      <c r="K275" s="40">
        <v>0.96928484791494929</v>
      </c>
      <c r="L275" s="41">
        <v>3196512.6795474724</v>
      </c>
      <c r="M275" s="42">
        <v>36.427288187800443</v>
      </c>
      <c r="N275" s="43">
        <v>2.5907419799483415</v>
      </c>
      <c r="O275" s="40">
        <v>0.97219880248293722</v>
      </c>
    </row>
    <row r="276" spans="1:15">
      <c r="A276" s="39">
        <v>1</v>
      </c>
      <c r="B276" s="39">
        <v>1980</v>
      </c>
      <c r="C276" s="39">
        <v>5</v>
      </c>
      <c r="D276" s="39">
        <v>45</v>
      </c>
      <c r="E276" s="39">
        <v>5</v>
      </c>
      <c r="F276" s="40">
        <v>6.9534778920730973E-3</v>
      </c>
      <c r="G276" s="40">
        <v>3.4198831996224255E-2</v>
      </c>
      <c r="H276" s="41">
        <v>85310.92908031329</v>
      </c>
      <c r="I276" s="41">
        <v>2917.5341310594376</v>
      </c>
      <c r="J276" s="41">
        <v>419579.11944832659</v>
      </c>
      <c r="K276" s="40">
        <v>0.95854239637781458</v>
      </c>
      <c r="L276" s="41">
        <v>2763637.7405128917</v>
      </c>
      <c r="M276" s="42">
        <v>32.39488504352299</v>
      </c>
      <c r="N276" s="43">
        <v>2.6091021938767041</v>
      </c>
      <c r="O276" s="40">
        <v>0.96580116800377569</v>
      </c>
    </row>
    <row r="277" spans="1:15">
      <c r="A277" s="39">
        <v>1</v>
      </c>
      <c r="B277" s="39">
        <v>1980</v>
      </c>
      <c r="C277" s="39">
        <v>5</v>
      </c>
      <c r="D277" s="39">
        <v>50</v>
      </c>
      <c r="E277" s="39">
        <v>5</v>
      </c>
      <c r="F277" s="40">
        <v>1.0199646687374131E-2</v>
      </c>
      <c r="G277" s="40">
        <v>4.9787225382509952E-2</v>
      </c>
      <c r="H277" s="41">
        <v>82393.394949253852</v>
      </c>
      <c r="I277" s="41">
        <v>4102.1385243686673</v>
      </c>
      <c r="J277" s="41">
        <v>402184.37462609226</v>
      </c>
      <c r="K277" s="40">
        <v>0.94310655752736472</v>
      </c>
      <c r="L277" s="41">
        <v>2344058.6210645651</v>
      </c>
      <c r="M277" s="42">
        <v>28.449593835868427</v>
      </c>
      <c r="N277" s="43">
        <v>2.6152438387773405</v>
      </c>
      <c r="O277" s="40">
        <v>0.9502127746174901</v>
      </c>
    </row>
    <row r="278" spans="1:15">
      <c r="A278" s="39">
        <v>1</v>
      </c>
      <c r="B278" s="39">
        <v>1980</v>
      </c>
      <c r="C278" s="39">
        <v>5</v>
      </c>
      <c r="D278" s="39">
        <v>55</v>
      </c>
      <c r="E278" s="39">
        <v>5</v>
      </c>
      <c r="F278" s="40">
        <v>1.3388670222623789E-2</v>
      </c>
      <c r="G278" s="40">
        <v>6.4864957831996001E-2</v>
      </c>
      <c r="H278" s="41">
        <v>78291.256424885185</v>
      </c>
      <c r="I278" s="41">
        <v>5078.3590466141613</v>
      </c>
      <c r="J278" s="41">
        <v>379302.72104490991</v>
      </c>
      <c r="K278" s="40">
        <v>0.92222299452545586</v>
      </c>
      <c r="L278" s="41">
        <v>1941874.2464384728</v>
      </c>
      <c r="M278" s="42">
        <v>24.803207089945747</v>
      </c>
      <c r="N278" s="43">
        <v>2.6067936575656225</v>
      </c>
      <c r="O278" s="40">
        <v>0.93513504216800403</v>
      </c>
    </row>
    <row r="279" spans="1:15">
      <c r="A279" s="39">
        <v>1</v>
      </c>
      <c r="B279" s="39">
        <v>1980</v>
      </c>
      <c r="C279" s="39">
        <v>5</v>
      </c>
      <c r="D279" s="39">
        <v>60</v>
      </c>
      <c r="E279" s="39">
        <v>5</v>
      </c>
      <c r="F279" s="40">
        <v>1.9469503917625738E-2</v>
      </c>
      <c r="G279" s="40">
        <v>9.3022754756974482E-2</v>
      </c>
      <c r="H279" s="41">
        <v>73212.897378271024</v>
      </c>
      <c r="I279" s="41">
        <v>6810.4653978664428</v>
      </c>
      <c r="J279" s="41">
        <v>349801.69123369048</v>
      </c>
      <c r="K279" s="40">
        <v>0.88892633658536946</v>
      </c>
      <c r="L279" s="41">
        <v>1562571.5253935629</v>
      </c>
      <c r="M279" s="42">
        <v>21.342845063489062</v>
      </c>
      <c r="N279" s="43">
        <v>2.6120874701515446</v>
      </c>
      <c r="O279" s="40">
        <v>0.90697724524302548</v>
      </c>
    </row>
    <row r="280" spans="1:15">
      <c r="A280" s="39">
        <v>1</v>
      </c>
      <c r="B280" s="39">
        <v>1980</v>
      </c>
      <c r="C280" s="39">
        <v>5</v>
      </c>
      <c r="D280" s="39">
        <v>65</v>
      </c>
      <c r="E280" s="39">
        <v>5</v>
      </c>
      <c r="F280" s="40">
        <v>2.7858099207493991E-2</v>
      </c>
      <c r="G280" s="40">
        <v>0.13045333113361932</v>
      </c>
      <c r="H280" s="41">
        <v>66402.431980404581</v>
      </c>
      <c r="I280" s="41">
        <v>8662.4184472173511</v>
      </c>
      <c r="J280" s="41">
        <v>310947.93591973104</v>
      </c>
      <c r="K280" s="40">
        <v>0.85369080083657189</v>
      </c>
      <c r="L280" s="41">
        <v>1212769.8341598725</v>
      </c>
      <c r="M280" s="42">
        <v>18.263936997334103</v>
      </c>
      <c r="N280" s="43">
        <v>2.5683206588734597</v>
      </c>
      <c r="O280" s="40">
        <v>0.86954666886638066</v>
      </c>
    </row>
    <row r="281" spans="1:15">
      <c r="A281" s="39">
        <v>1</v>
      </c>
      <c r="B281" s="39">
        <v>1980</v>
      </c>
      <c r="C281" s="39">
        <v>5</v>
      </c>
      <c r="D281" s="39">
        <v>70</v>
      </c>
      <c r="E281" s="39">
        <v>5</v>
      </c>
      <c r="F281" s="40">
        <v>3.5707812215307763E-2</v>
      </c>
      <c r="G281" s="40">
        <v>0.16416275835290919</v>
      </c>
      <c r="H281" s="41">
        <v>57740.01353318723</v>
      </c>
      <c r="I281" s="41">
        <v>9478.7598889423243</v>
      </c>
      <c r="J281" s="41">
        <v>265453.39243379422</v>
      </c>
      <c r="K281" s="40">
        <v>0.8080865519518593</v>
      </c>
      <c r="L281" s="41">
        <v>901821.89824014157</v>
      </c>
      <c r="M281" s="42">
        <v>15.618664476443209</v>
      </c>
      <c r="N281" s="43">
        <v>2.54749824824016</v>
      </c>
      <c r="O281" s="40">
        <v>0.83583724164709083</v>
      </c>
    </row>
    <row r="282" spans="1:15">
      <c r="A282" s="39">
        <v>1</v>
      </c>
      <c r="B282" s="39">
        <v>1980</v>
      </c>
      <c r="C282" s="39">
        <v>5</v>
      </c>
      <c r="D282" s="39">
        <v>75</v>
      </c>
      <c r="E282" s="39">
        <v>5</v>
      </c>
      <c r="F282" s="40">
        <v>5.0008523112465945E-2</v>
      </c>
      <c r="G282" s="40">
        <v>0.22227549652757481</v>
      </c>
      <c r="H282" s="41">
        <v>48261.253644244905</v>
      </c>
      <c r="I282" s="41">
        <v>10727.294116817764</v>
      </c>
      <c r="J282" s="41">
        <v>214509.31659574853</v>
      </c>
      <c r="K282" s="40">
        <v>0.76000082796321045</v>
      </c>
      <c r="L282" s="41">
        <v>636368.50580634736</v>
      </c>
      <c r="M282" s="42">
        <v>13.185909145611959</v>
      </c>
      <c r="N282" s="43">
        <v>2.5019840666561981</v>
      </c>
      <c r="O282" s="40">
        <v>0.77772450347242517</v>
      </c>
    </row>
    <row r="283" spans="1:15">
      <c r="A283" s="39">
        <v>1</v>
      </c>
      <c r="B283" s="39">
        <v>1980</v>
      </c>
      <c r="C283" s="39">
        <v>5</v>
      </c>
      <c r="D283" s="39">
        <v>80</v>
      </c>
      <c r="E283" s="39">
        <v>5</v>
      </c>
      <c r="F283" s="40">
        <v>5.944064463453036E-2</v>
      </c>
      <c r="G283" s="40">
        <v>0.25817807243150087</v>
      </c>
      <c r="H283" s="41">
        <v>37533.959527427141</v>
      </c>
      <c r="I283" s="41">
        <v>9690.445321513107</v>
      </c>
      <c r="J283" s="41">
        <v>163027.25821859133</v>
      </c>
      <c r="K283" s="40">
        <v>0.71899038640763702</v>
      </c>
      <c r="L283" s="41">
        <v>421859.18921059882</v>
      </c>
      <c r="M283" s="42">
        <v>11.239400119839054</v>
      </c>
      <c r="N283" s="43">
        <v>2.4570271436507536</v>
      </c>
      <c r="O283" s="40">
        <v>0.74182192756849918</v>
      </c>
    </row>
    <row r="284" spans="1:15">
      <c r="A284" s="39">
        <v>1</v>
      </c>
      <c r="B284" s="39">
        <v>1980</v>
      </c>
      <c r="C284" s="39">
        <v>5</v>
      </c>
      <c r="D284" s="39">
        <v>85</v>
      </c>
      <c r="E284" s="39">
        <v>5</v>
      </c>
      <c r="F284" s="40">
        <v>7.3724132580197929E-2</v>
      </c>
      <c r="G284" s="40">
        <v>0.31036227862828064</v>
      </c>
      <c r="H284" s="41">
        <v>27843.514205914034</v>
      </c>
      <c r="I284" s="41">
        <v>8641.5765139663818</v>
      </c>
      <c r="J284" s="41">
        <v>117215.0313815626</v>
      </c>
      <c r="K284" s="40">
        <v>0.65248745675722419</v>
      </c>
      <c r="L284" s="41">
        <v>258831.93099200749</v>
      </c>
      <c r="M284" s="42">
        <v>9.2959505426592646</v>
      </c>
      <c r="N284" s="43">
        <v>2.4538743466024506</v>
      </c>
      <c r="O284" s="40">
        <v>0.6896377213717193</v>
      </c>
    </row>
    <row r="285" spans="1:15">
      <c r="A285" s="39">
        <v>1</v>
      </c>
      <c r="B285" s="39">
        <v>1980</v>
      </c>
      <c r="C285" s="39">
        <v>5</v>
      </c>
      <c r="D285" s="39">
        <v>90</v>
      </c>
      <c r="E285" s="39">
        <v>5</v>
      </c>
      <c r="F285" s="40">
        <v>9.9565571282096907E-2</v>
      </c>
      <c r="G285" s="40">
        <v>0.39656977356465223</v>
      </c>
      <c r="H285" s="41">
        <v>19201.937691947653</v>
      </c>
      <c r="I285" s="41">
        <v>7614.9080824982429</v>
      </c>
      <c r="J285" s="41">
        <v>76481.337719874005</v>
      </c>
      <c r="K285" s="40">
        <v>0.54710510664399392</v>
      </c>
      <c r="L285" s="41">
        <v>141616.8996104449</v>
      </c>
      <c r="M285" s="42">
        <v>7.375135878595839</v>
      </c>
      <c r="N285" s="43">
        <v>2.4355106419803891</v>
      </c>
      <c r="O285" s="40">
        <v>0.60343022643534772</v>
      </c>
    </row>
    <row r="286" spans="1:15">
      <c r="A286" s="39">
        <v>1</v>
      </c>
      <c r="B286" s="39">
        <v>1980</v>
      </c>
      <c r="C286" s="39">
        <v>5</v>
      </c>
      <c r="D286" s="39">
        <v>95</v>
      </c>
      <c r="E286" s="39">
        <v>5</v>
      </c>
      <c r="F286" s="40">
        <v>0.14641381815037846</v>
      </c>
      <c r="G286" s="40">
        <v>0.52873272778347091</v>
      </c>
      <c r="H286" s="41">
        <v>11587.02960944941</v>
      </c>
      <c r="I286" s="41">
        <v>6126.4417723120314</v>
      </c>
      <c r="J286" s="41">
        <v>41843.330429506983</v>
      </c>
      <c r="K286" s="40">
        <v>0.35759623138271768</v>
      </c>
      <c r="L286" s="41">
        <v>65135.561890570905</v>
      </c>
      <c r="M286" s="42">
        <v>5.6214201642715924</v>
      </c>
      <c r="N286" s="43">
        <v>2.3733827536783645</v>
      </c>
      <c r="O286" s="40">
        <v>0.47126727221652909</v>
      </c>
    </row>
    <row r="287" spans="1:15">
      <c r="A287" s="39">
        <v>1</v>
      </c>
      <c r="B287" s="39">
        <v>1980</v>
      </c>
      <c r="C287" s="39">
        <v>5</v>
      </c>
      <c r="D287" s="39">
        <v>100</v>
      </c>
      <c r="E287" s="39">
        <v>0</v>
      </c>
      <c r="F287" s="40">
        <v>0.23443815790107875</v>
      </c>
      <c r="G287" s="40">
        <v>1</v>
      </c>
      <c r="H287" s="41">
        <v>5460.5878371373783</v>
      </c>
      <c r="I287" s="41">
        <v>5460.5878371373783</v>
      </c>
      <c r="J287" s="41">
        <v>23292.231461063922</v>
      </c>
      <c r="K287" s="40">
        <v>0</v>
      </c>
      <c r="L287" s="41">
        <v>23292.231461063922</v>
      </c>
      <c r="M287" s="42">
        <v>4.265517221910395</v>
      </c>
      <c r="N287" s="43">
        <v>4.265517221910395</v>
      </c>
      <c r="O287" s="40">
        <v>0</v>
      </c>
    </row>
    <row r="288" spans="1:15">
      <c r="A288" s="44">
        <v>2</v>
      </c>
      <c r="B288" s="44">
        <v>1980</v>
      </c>
      <c r="C288" s="44">
        <v>5</v>
      </c>
      <c r="D288" s="44">
        <v>0</v>
      </c>
      <c r="E288" s="44">
        <v>1</v>
      </c>
      <c r="F288" s="45">
        <v>3.992920533350186E-2</v>
      </c>
      <c r="G288" s="45">
        <v>3.8640588036219996E-2</v>
      </c>
      <c r="H288" s="46">
        <v>100000</v>
      </c>
      <c r="I288" s="46">
        <v>3864.0588036219997</v>
      </c>
      <c r="J288" s="46">
        <v>96772.744945663508</v>
      </c>
      <c r="K288" s="45">
        <v>0.95839909568266146</v>
      </c>
      <c r="L288" s="46">
        <v>7558486.7780152364</v>
      </c>
      <c r="M288" s="47">
        <v>75.584867780152365</v>
      </c>
      <c r="N288" s="48">
        <v>0.16480177493380521</v>
      </c>
      <c r="O288" s="45">
        <v>0.96135941196378005</v>
      </c>
    </row>
    <row r="289" spans="1:15">
      <c r="A289" s="44">
        <v>2</v>
      </c>
      <c r="B289" s="44">
        <v>1980</v>
      </c>
      <c r="C289" s="44">
        <v>5</v>
      </c>
      <c r="D289" s="44">
        <v>1</v>
      </c>
      <c r="E289" s="44">
        <v>4</v>
      </c>
      <c r="F289" s="45">
        <v>2.1805612849625337E-3</v>
      </c>
      <c r="G289" s="45">
        <v>8.6742280810760443E-3</v>
      </c>
      <c r="H289" s="46">
        <v>96135.941196378</v>
      </c>
      <c r="I289" s="46">
        <v>833.90508072629746</v>
      </c>
      <c r="J289" s="46">
        <v>382426.80289566721</v>
      </c>
      <c r="K289" s="45">
        <v>0.99324538275158591</v>
      </c>
      <c r="L289" s="46">
        <v>7461714.0330695724</v>
      </c>
      <c r="M289" s="47">
        <v>77.616278992135136</v>
      </c>
      <c r="N289" s="48">
        <v>1.4613874663037443</v>
      </c>
      <c r="O289" s="45">
        <v>0.9913257719189239</v>
      </c>
    </row>
    <row r="290" spans="1:15">
      <c r="A290" s="44">
        <v>2</v>
      </c>
      <c r="B290" s="44">
        <v>1980</v>
      </c>
      <c r="C290" s="44">
        <v>5</v>
      </c>
      <c r="D290" s="44">
        <v>5</v>
      </c>
      <c r="E290" s="44">
        <v>5</v>
      </c>
      <c r="F290" s="45">
        <v>4.6007153429935979E-4</v>
      </c>
      <c r="G290" s="45">
        <v>2.2977148884615064E-3</v>
      </c>
      <c r="H290" s="46">
        <v>95302.036115651703</v>
      </c>
      <c r="I290" s="46">
        <v>218.97690728363523</v>
      </c>
      <c r="J290" s="46">
        <v>475962.7383100494</v>
      </c>
      <c r="K290" s="45">
        <v>0.99780720423935898</v>
      </c>
      <c r="L290" s="46">
        <v>7079287.2301739054</v>
      </c>
      <c r="M290" s="47">
        <v>74.282644093595138</v>
      </c>
      <c r="N290" s="48">
        <v>2.5</v>
      </c>
      <c r="O290" s="45">
        <v>0.99770228511153847</v>
      </c>
    </row>
    <row r="291" spans="1:15">
      <c r="A291" s="44">
        <v>2</v>
      </c>
      <c r="B291" s="44">
        <v>1980</v>
      </c>
      <c r="C291" s="44">
        <v>5</v>
      </c>
      <c r="D291" s="44">
        <v>10</v>
      </c>
      <c r="E291" s="44">
        <v>5</v>
      </c>
      <c r="F291" s="45">
        <v>4.1796327806128248E-4</v>
      </c>
      <c r="G291" s="45">
        <v>2.087635003382889E-3</v>
      </c>
      <c r="H291" s="46">
        <v>95083.059208368068</v>
      </c>
      <c r="I291" s="46">
        <v>198.49872263211</v>
      </c>
      <c r="J291" s="46">
        <v>474919.04923526006</v>
      </c>
      <c r="K291" s="45">
        <v>0.99739649124955643</v>
      </c>
      <c r="L291" s="46">
        <v>6603324.4918638561</v>
      </c>
      <c r="M291" s="47">
        <v>69.447959992464263</v>
      </c>
      <c r="N291" s="48">
        <v>2.5</v>
      </c>
      <c r="O291" s="45">
        <v>0.99791236499661706</v>
      </c>
    </row>
    <row r="292" spans="1:15">
      <c r="A292" s="44">
        <v>2</v>
      </c>
      <c r="B292" s="44">
        <v>1980</v>
      </c>
      <c r="C292" s="44">
        <v>5</v>
      </c>
      <c r="D292" s="44">
        <v>15</v>
      </c>
      <c r="E292" s="44">
        <v>5</v>
      </c>
      <c r="F292" s="45">
        <v>6.626648886970028E-4</v>
      </c>
      <c r="G292" s="45">
        <v>3.3081548924613108E-3</v>
      </c>
      <c r="H292" s="46">
        <v>94884.560485735958</v>
      </c>
      <c r="I292" s="46">
        <v>313.89282298991748</v>
      </c>
      <c r="J292" s="46">
        <v>473682.59333482373</v>
      </c>
      <c r="K292" s="45">
        <v>0.99626288291568643</v>
      </c>
      <c r="L292" s="46">
        <v>6128405.442628596</v>
      </c>
      <c r="M292" s="47">
        <v>64.588015281473346</v>
      </c>
      <c r="N292" s="48">
        <v>2.641841292179409</v>
      </c>
      <c r="O292" s="45">
        <v>0.99669184510753872</v>
      </c>
    </row>
    <row r="293" spans="1:15">
      <c r="A293" s="44">
        <v>2</v>
      </c>
      <c r="B293" s="44">
        <v>1980</v>
      </c>
      <c r="C293" s="44">
        <v>5</v>
      </c>
      <c r="D293" s="44">
        <v>20</v>
      </c>
      <c r="E293" s="44">
        <v>5</v>
      </c>
      <c r="F293" s="45">
        <v>8.3119001626795453E-4</v>
      </c>
      <c r="G293" s="45">
        <v>4.1476799678955827E-3</v>
      </c>
      <c r="H293" s="46">
        <v>94570.66766274604</v>
      </c>
      <c r="I293" s="46">
        <v>392.24886381528631</v>
      </c>
      <c r="J293" s="46">
        <v>471912.38602273021</v>
      </c>
      <c r="K293" s="45">
        <v>0.99525984268041967</v>
      </c>
      <c r="L293" s="46">
        <v>5654722.8492937721</v>
      </c>
      <c r="M293" s="47">
        <v>59.79362300221257</v>
      </c>
      <c r="N293" s="48">
        <v>2.6011344383571786</v>
      </c>
      <c r="O293" s="45">
        <v>0.99585232003210444</v>
      </c>
    </row>
    <row r="294" spans="1:15">
      <c r="A294" s="44">
        <v>2</v>
      </c>
      <c r="B294" s="44">
        <v>1980</v>
      </c>
      <c r="C294" s="44">
        <v>5</v>
      </c>
      <c r="D294" s="44">
        <v>25</v>
      </c>
      <c r="E294" s="44">
        <v>5</v>
      </c>
      <c r="F294" s="45">
        <v>1.0857503782256421E-3</v>
      </c>
      <c r="G294" s="45">
        <v>5.4147255900566108E-3</v>
      </c>
      <c r="H294" s="46">
        <v>94178.418798930754</v>
      </c>
      <c r="I294" s="46">
        <v>509.95029430164141</v>
      </c>
      <c r="J294" s="46">
        <v>469675.44707192393</v>
      </c>
      <c r="K294" s="45">
        <v>0.99373981044480353</v>
      </c>
      <c r="L294" s="46">
        <v>5182810.4632710423</v>
      </c>
      <c r="M294" s="47">
        <v>55.031827135856361</v>
      </c>
      <c r="N294" s="48">
        <v>2.6141852719273242</v>
      </c>
      <c r="O294" s="45">
        <v>0.99458527440994338</v>
      </c>
    </row>
    <row r="295" spans="1:15">
      <c r="A295" s="44">
        <v>2</v>
      </c>
      <c r="B295" s="44">
        <v>1980</v>
      </c>
      <c r="C295" s="44">
        <v>5</v>
      </c>
      <c r="D295" s="44">
        <v>30</v>
      </c>
      <c r="E295" s="44">
        <v>5</v>
      </c>
      <c r="F295" s="45">
        <v>1.4536097688602478E-3</v>
      </c>
      <c r="G295" s="45">
        <v>7.2431079755397778E-3</v>
      </c>
      <c r="H295" s="46">
        <v>93668.468504629112</v>
      </c>
      <c r="I295" s="46">
        <v>678.45083128247643</v>
      </c>
      <c r="J295" s="46">
        <v>466735.18974383204</v>
      </c>
      <c r="K295" s="45">
        <v>0.99133524449467325</v>
      </c>
      <c r="L295" s="46">
        <v>4713135.0161991185</v>
      </c>
      <c r="M295" s="47">
        <v>50.317199495646655</v>
      </c>
      <c r="N295" s="48">
        <v>2.6311433265170883</v>
      </c>
      <c r="O295" s="45">
        <v>0.99275689202446027</v>
      </c>
    </row>
    <row r="296" spans="1:15">
      <c r="A296" s="44">
        <v>2</v>
      </c>
      <c r="B296" s="44">
        <v>1980</v>
      </c>
      <c r="C296" s="44">
        <v>5</v>
      </c>
      <c r="D296" s="44">
        <v>35</v>
      </c>
      <c r="E296" s="44">
        <v>5</v>
      </c>
      <c r="F296" s="45">
        <v>2.0674074976575504E-3</v>
      </c>
      <c r="G296" s="45">
        <v>1.0286813103584333E-2</v>
      </c>
      <c r="H296" s="46">
        <v>92990.017673346636</v>
      </c>
      <c r="I296" s="46">
        <v>956.57093230471946</v>
      </c>
      <c r="J296" s="46">
        <v>462691.04343896947</v>
      </c>
      <c r="K296" s="45">
        <v>0.98776195159175584</v>
      </c>
      <c r="L296" s="46">
        <v>4246399.8264552867</v>
      </c>
      <c r="M296" s="47">
        <v>45.665114737067263</v>
      </c>
      <c r="N296" s="48">
        <v>2.6383926675245553</v>
      </c>
      <c r="O296" s="45">
        <v>0.98971318689641563</v>
      </c>
    </row>
    <row r="297" spans="1:15">
      <c r="A297" s="44">
        <v>2</v>
      </c>
      <c r="B297" s="44">
        <v>1980</v>
      </c>
      <c r="C297" s="44">
        <v>5</v>
      </c>
      <c r="D297" s="44">
        <v>40</v>
      </c>
      <c r="E297" s="44">
        <v>5</v>
      </c>
      <c r="F297" s="45">
        <v>2.8835115442828094E-3</v>
      </c>
      <c r="G297" s="45">
        <v>1.4319221044622091E-2</v>
      </c>
      <c r="H297" s="46">
        <v>92033.446741041917</v>
      </c>
      <c r="I297" s="46">
        <v>1317.8472673834331</v>
      </c>
      <c r="J297" s="46">
        <v>457028.60805130238</v>
      </c>
      <c r="K297" s="45">
        <v>0.98371195855272131</v>
      </c>
      <c r="L297" s="46">
        <v>3783708.7830163171</v>
      </c>
      <c r="M297" s="47">
        <v>41.112322932582167</v>
      </c>
      <c r="N297" s="48">
        <v>2.6183691907341395</v>
      </c>
      <c r="O297" s="45">
        <v>0.98568077895537787</v>
      </c>
    </row>
    <row r="298" spans="1:15">
      <c r="A298" s="44">
        <v>2</v>
      </c>
      <c r="B298" s="44">
        <v>1980</v>
      </c>
      <c r="C298" s="44">
        <v>5</v>
      </c>
      <c r="D298" s="44">
        <v>45</v>
      </c>
      <c r="E298" s="44">
        <v>5</v>
      </c>
      <c r="F298" s="45">
        <v>3.755804976184223E-3</v>
      </c>
      <c r="G298" s="45">
        <v>1.8613686498593338E-2</v>
      </c>
      <c r="H298" s="46">
        <v>90715.599473658483</v>
      </c>
      <c r="I298" s="46">
        <v>1688.5517291346332</v>
      </c>
      <c r="J298" s="46">
        <v>449584.50714077067</v>
      </c>
      <c r="K298" s="45">
        <v>0.97690443754051581</v>
      </c>
      <c r="L298" s="46">
        <v>3326680.1749650147</v>
      </c>
      <c r="M298" s="47">
        <v>36.671533829537204</v>
      </c>
      <c r="N298" s="48">
        <v>2.6349612756202729</v>
      </c>
      <c r="O298" s="45">
        <v>0.9813863135014067</v>
      </c>
    </row>
    <row r="299" spans="1:15">
      <c r="A299" s="44">
        <v>2</v>
      </c>
      <c r="B299" s="44">
        <v>1980</v>
      </c>
      <c r="C299" s="44">
        <v>5</v>
      </c>
      <c r="D299" s="44">
        <v>50</v>
      </c>
      <c r="E299" s="44">
        <v>5</v>
      </c>
      <c r="F299" s="45">
        <v>5.7223582984968074E-3</v>
      </c>
      <c r="G299" s="45">
        <v>2.8230365078901823E-2</v>
      </c>
      <c r="H299" s="46">
        <v>89027.04774452385</v>
      </c>
      <c r="I299" s="46">
        <v>2513.2660597247304</v>
      </c>
      <c r="J299" s="46">
        <v>439201.1000752846</v>
      </c>
      <c r="K299" s="45">
        <v>0.96721421469217739</v>
      </c>
      <c r="L299" s="46">
        <v>2877095.6678242441</v>
      </c>
      <c r="M299" s="47">
        <v>32.317096216427295</v>
      </c>
      <c r="N299" s="48">
        <v>2.6388736781872493</v>
      </c>
      <c r="O299" s="45">
        <v>0.97176963492109814</v>
      </c>
    </row>
    <row r="300" spans="1:15">
      <c r="A300" s="44">
        <v>2</v>
      </c>
      <c r="B300" s="44">
        <v>1980</v>
      </c>
      <c r="C300" s="44">
        <v>5</v>
      </c>
      <c r="D300" s="44">
        <v>55</v>
      </c>
      <c r="E300" s="44">
        <v>5</v>
      </c>
      <c r="F300" s="45">
        <v>7.7455607671233538E-3</v>
      </c>
      <c r="G300" s="45">
        <v>3.8032393602081133E-2</v>
      </c>
      <c r="H300" s="46">
        <v>86513.78168479912</v>
      </c>
      <c r="I300" s="46">
        <v>3290.3261970407912</v>
      </c>
      <c r="J300" s="46">
        <v>424801.54710125679</v>
      </c>
      <c r="K300" s="45">
        <v>0.95257779645895146</v>
      </c>
      <c r="L300" s="46">
        <v>2437894.5677489596</v>
      </c>
      <c r="M300" s="47">
        <v>28.179262543753872</v>
      </c>
      <c r="N300" s="48">
        <v>2.6393339573065759</v>
      </c>
      <c r="O300" s="45">
        <v>0.9619676063979189</v>
      </c>
    </row>
    <row r="301" spans="1:15">
      <c r="A301" s="44">
        <v>2</v>
      </c>
      <c r="B301" s="44">
        <v>1980</v>
      </c>
      <c r="C301" s="44">
        <v>5</v>
      </c>
      <c r="D301" s="44">
        <v>60</v>
      </c>
      <c r="E301" s="44">
        <v>5</v>
      </c>
      <c r="F301" s="45">
        <v>1.2068993138504989E-2</v>
      </c>
      <c r="G301" s="45">
        <v>5.8682936857935818E-2</v>
      </c>
      <c r="H301" s="46">
        <v>83223.455487758329</v>
      </c>
      <c r="I301" s="46">
        <v>4883.7967834873562</v>
      </c>
      <c r="J301" s="46">
        <v>404656.52167006867</v>
      </c>
      <c r="K301" s="45">
        <v>0.92766307063696363</v>
      </c>
      <c r="L301" s="46">
        <v>2013093.0206477027</v>
      </c>
      <c r="M301" s="47">
        <v>24.189010283811356</v>
      </c>
      <c r="N301" s="48">
        <v>2.6533102672344984</v>
      </c>
      <c r="O301" s="45">
        <v>0.9413170631420642</v>
      </c>
    </row>
    <row r="302" spans="1:15">
      <c r="A302" s="44">
        <v>2</v>
      </c>
      <c r="B302" s="44">
        <v>1980</v>
      </c>
      <c r="C302" s="44">
        <v>5</v>
      </c>
      <c r="D302" s="44">
        <v>65</v>
      </c>
      <c r="E302" s="44">
        <v>5</v>
      </c>
      <c r="F302" s="45">
        <v>1.8241497647060054E-2</v>
      </c>
      <c r="G302" s="45">
        <v>8.7408894704640694E-2</v>
      </c>
      <c r="H302" s="46">
        <v>78339.658704270973</v>
      </c>
      <c r="I302" s="46">
        <v>6847.5829788791016</v>
      </c>
      <c r="J302" s="46">
        <v>375384.91144572891</v>
      </c>
      <c r="K302" s="45">
        <v>0.89773543489068941</v>
      </c>
      <c r="L302" s="46">
        <v>1608436.4989776341</v>
      </c>
      <c r="M302" s="47">
        <v>20.531573989228324</v>
      </c>
      <c r="N302" s="48">
        <v>2.6176437546002025</v>
      </c>
      <c r="O302" s="45">
        <v>0.91259110529535925</v>
      </c>
    </row>
    <row r="303" spans="1:15">
      <c r="A303" s="44">
        <v>2</v>
      </c>
      <c r="B303" s="44">
        <v>1980</v>
      </c>
      <c r="C303" s="44">
        <v>5</v>
      </c>
      <c r="D303" s="44">
        <v>70</v>
      </c>
      <c r="E303" s="44">
        <v>5</v>
      </c>
      <c r="F303" s="45">
        <v>2.5476198182544114E-2</v>
      </c>
      <c r="G303" s="45">
        <v>0.12008863044143012</v>
      </c>
      <c r="H303" s="46">
        <v>71492.075725391871</v>
      </c>
      <c r="I303" s="46">
        <v>8585.3854612773212</v>
      </c>
      <c r="J303" s="46">
        <v>336996.33672813437</v>
      </c>
      <c r="K303" s="45">
        <v>0.8481964427228984</v>
      </c>
      <c r="L303" s="46">
        <v>1233051.5875319052</v>
      </c>
      <c r="M303" s="47">
        <v>17.247388259758722</v>
      </c>
      <c r="N303" s="48">
        <v>2.6164096543918753</v>
      </c>
      <c r="O303" s="45">
        <v>0.87991136955856986</v>
      </c>
    </row>
    <row r="304" spans="1:15">
      <c r="A304" s="44">
        <v>2</v>
      </c>
      <c r="B304" s="44">
        <v>1980</v>
      </c>
      <c r="C304" s="44">
        <v>5</v>
      </c>
      <c r="D304" s="44">
        <v>75</v>
      </c>
      <c r="E304" s="44">
        <v>5</v>
      </c>
      <c r="F304" s="45">
        <v>4.1150143403970871E-2</v>
      </c>
      <c r="G304" s="45">
        <v>0.18698042545462012</v>
      </c>
      <c r="H304" s="46">
        <v>62906.69026411455</v>
      </c>
      <c r="I304" s="46">
        <v>11762.319709526149</v>
      </c>
      <c r="J304" s="46">
        <v>285839.09402345162</v>
      </c>
      <c r="K304" s="45">
        <v>0.79254074730591118</v>
      </c>
      <c r="L304" s="46">
        <v>896055.25080377073</v>
      </c>
      <c r="M304" s="47">
        <v>14.24419639694397</v>
      </c>
      <c r="N304" s="48">
        <v>2.560484835837106</v>
      </c>
      <c r="O304" s="45">
        <v>0.81301957454537988</v>
      </c>
    </row>
    <row r="305" spans="1:15">
      <c r="A305" s="44">
        <v>2</v>
      </c>
      <c r="B305" s="44">
        <v>1980</v>
      </c>
      <c r="C305" s="44">
        <v>5</v>
      </c>
      <c r="D305" s="44">
        <v>80</v>
      </c>
      <c r="E305" s="44">
        <v>5</v>
      </c>
      <c r="F305" s="45">
        <v>5.1396663490742851E-2</v>
      </c>
      <c r="G305" s="45">
        <v>0.22765663677220793</v>
      </c>
      <c r="H305" s="46">
        <v>51144.3705545884</v>
      </c>
      <c r="I305" s="46">
        <v>11643.355390289136</v>
      </c>
      <c r="J305" s="46">
        <v>226539.12918659096</v>
      </c>
      <c r="K305" s="45">
        <v>0.74659328436927896</v>
      </c>
      <c r="L305" s="46">
        <v>610216.15678031906</v>
      </c>
      <c r="M305" s="47">
        <v>11.93124776321201</v>
      </c>
      <c r="N305" s="48">
        <v>2.4936156624841841</v>
      </c>
      <c r="O305" s="45">
        <v>0.77234336322779207</v>
      </c>
    </row>
    <row r="306" spans="1:15">
      <c r="A306" s="44">
        <v>2</v>
      </c>
      <c r="B306" s="44">
        <v>1980</v>
      </c>
      <c r="C306" s="44">
        <v>5</v>
      </c>
      <c r="D306" s="44">
        <v>85</v>
      </c>
      <c r="E306" s="44">
        <v>5</v>
      </c>
      <c r="F306" s="45">
        <v>6.6722967024718527E-2</v>
      </c>
      <c r="G306" s="45">
        <v>0.28568957899137915</v>
      </c>
      <c r="H306" s="46">
        <v>39501.015164299264</v>
      </c>
      <c r="I306" s="46">
        <v>11285.02839202074</v>
      </c>
      <c r="J306" s="46">
        <v>169132.59249757332</v>
      </c>
      <c r="K306" s="45">
        <v>0.67405555856537935</v>
      </c>
      <c r="L306" s="46">
        <v>383677.02759372804</v>
      </c>
      <c r="M306" s="47">
        <v>9.7130928407250803</v>
      </c>
      <c r="N306" s="48">
        <v>2.4858296906027979</v>
      </c>
      <c r="O306" s="45">
        <v>0.71431042100862085</v>
      </c>
    </row>
    <row r="307" spans="1:15">
      <c r="A307" s="44">
        <v>2</v>
      </c>
      <c r="B307" s="44">
        <v>1980</v>
      </c>
      <c r="C307" s="44">
        <v>5</v>
      </c>
      <c r="D307" s="44">
        <v>90</v>
      </c>
      <c r="E307" s="44">
        <v>5</v>
      </c>
      <c r="F307" s="45">
        <v>9.357707636552956E-2</v>
      </c>
      <c r="G307" s="45">
        <v>0.37809177481642492</v>
      </c>
      <c r="H307" s="46">
        <v>28215.986772278524</v>
      </c>
      <c r="I307" s="46">
        <v>10668.232516927557</v>
      </c>
      <c r="J307" s="46">
        <v>114004.76410756247</v>
      </c>
      <c r="K307" s="45">
        <v>0.5619602271790648</v>
      </c>
      <c r="L307" s="46">
        <v>214544.43509615469</v>
      </c>
      <c r="M307" s="47">
        <v>7.6036481313827036</v>
      </c>
      <c r="N307" s="48">
        <v>2.4620753990064155</v>
      </c>
      <c r="O307" s="45">
        <v>0.62190822518357503</v>
      </c>
    </row>
    <row r="308" spans="1:15">
      <c r="A308" s="44">
        <v>2</v>
      </c>
      <c r="B308" s="44">
        <v>1980</v>
      </c>
      <c r="C308" s="44">
        <v>5</v>
      </c>
      <c r="D308" s="44">
        <v>95</v>
      </c>
      <c r="E308" s="44">
        <v>5</v>
      </c>
      <c r="F308" s="45">
        <v>0.14178075786091371</v>
      </c>
      <c r="G308" s="45">
        <v>0.51763582935257224</v>
      </c>
      <c r="H308" s="46">
        <v>17547.754255350967</v>
      </c>
      <c r="I308" s="46">
        <v>9083.3463272437275</v>
      </c>
      <c r="J308" s="46">
        <v>64066.143137381499</v>
      </c>
      <c r="K308" s="45">
        <v>0.36277747373322122</v>
      </c>
      <c r="L308" s="46">
        <v>100539.67098859222</v>
      </c>
      <c r="M308" s="47">
        <v>5.7294893423717692</v>
      </c>
      <c r="N308" s="48">
        <v>2.393842832088005</v>
      </c>
      <c r="O308" s="45">
        <v>0.48236417064742776</v>
      </c>
    </row>
    <row r="309" spans="1:15">
      <c r="A309" s="44">
        <v>2</v>
      </c>
      <c r="B309" s="44">
        <v>1980</v>
      </c>
      <c r="C309" s="44">
        <v>5</v>
      </c>
      <c r="D309" s="44">
        <v>100</v>
      </c>
      <c r="E309" s="44">
        <v>0</v>
      </c>
      <c r="F309" s="45">
        <v>0.23206989909604447</v>
      </c>
      <c r="G309" s="45">
        <v>1</v>
      </c>
      <c r="H309" s="46">
        <v>8464.4079281072391</v>
      </c>
      <c r="I309" s="46">
        <v>8464.4079281072391</v>
      </c>
      <c r="J309" s="46">
        <v>36473.527851210718</v>
      </c>
      <c r="K309" s="45">
        <v>0</v>
      </c>
      <c r="L309" s="46">
        <v>36473.527851210718</v>
      </c>
      <c r="M309" s="47">
        <v>4.3090465583653303</v>
      </c>
      <c r="N309" s="48">
        <v>4.3090465583653303</v>
      </c>
      <c r="O309" s="45">
        <v>0</v>
      </c>
    </row>
    <row r="310" spans="1:15">
      <c r="A310" s="39">
        <v>1</v>
      </c>
      <c r="B310" s="39">
        <v>1985</v>
      </c>
      <c r="C310" s="39">
        <v>5</v>
      </c>
      <c r="D310" s="39">
        <v>0</v>
      </c>
      <c r="E310" s="39">
        <v>1</v>
      </c>
      <c r="F310" s="40">
        <v>3.6242001431897534E-2</v>
      </c>
      <c r="G310" s="40">
        <v>3.5149358188442274E-2</v>
      </c>
      <c r="H310" s="41">
        <v>100000</v>
      </c>
      <c r="I310" s="41">
        <v>3514.9358188442275</v>
      </c>
      <c r="J310" s="41">
        <v>96985.146514304957</v>
      </c>
      <c r="K310" s="40">
        <v>0.96268272247453235</v>
      </c>
      <c r="L310" s="41">
        <v>7046212.2506936276</v>
      </c>
      <c r="M310" s="42">
        <v>70.462122506936282</v>
      </c>
      <c r="N310" s="43">
        <v>0.14227353184321298</v>
      </c>
      <c r="O310" s="40">
        <v>0.96485064181155777</v>
      </c>
    </row>
    <row r="311" spans="1:15">
      <c r="A311" s="39">
        <v>1</v>
      </c>
      <c r="B311" s="39">
        <v>1985</v>
      </c>
      <c r="C311" s="39">
        <v>5</v>
      </c>
      <c r="D311" s="39">
        <v>1</v>
      </c>
      <c r="E311" s="39">
        <v>4</v>
      </c>
      <c r="F311" s="40">
        <v>1.6814319285739069E-3</v>
      </c>
      <c r="G311" s="40">
        <v>6.6981228324375303E-3</v>
      </c>
      <c r="H311" s="41">
        <v>96485.064181155773</v>
      </c>
      <c r="I311" s="41">
        <v>646.26881138099998</v>
      </c>
      <c r="J311" s="41">
        <v>384356.21472296125</v>
      </c>
      <c r="K311" s="40">
        <v>0.99418016531875786</v>
      </c>
      <c r="L311" s="41">
        <v>6949227.1041793227</v>
      </c>
      <c r="M311" s="42">
        <v>72.023863622371479</v>
      </c>
      <c r="N311" s="43">
        <v>1.5489425239677765</v>
      </c>
      <c r="O311" s="40">
        <v>0.99330187716756246</v>
      </c>
    </row>
    <row r="312" spans="1:15">
      <c r="A312" s="39">
        <v>1</v>
      </c>
      <c r="B312" s="39">
        <v>1985</v>
      </c>
      <c r="C312" s="39">
        <v>5</v>
      </c>
      <c r="D312" s="39">
        <v>5</v>
      </c>
      <c r="E312" s="39">
        <v>5</v>
      </c>
      <c r="F312" s="40">
        <v>5.4661488081904092E-4</v>
      </c>
      <c r="G312" s="40">
        <v>2.729344653089548E-3</v>
      </c>
      <c r="H312" s="41">
        <v>95838.795369774773</v>
      </c>
      <c r="I312" s="41">
        <v>261.57710370104178</v>
      </c>
      <c r="J312" s="41">
        <v>478540.03408962127</v>
      </c>
      <c r="K312" s="40">
        <v>0.99716370945968735</v>
      </c>
      <c r="L312" s="41">
        <v>6564870.8894563615</v>
      </c>
      <c r="M312" s="42">
        <v>68.499096468472118</v>
      </c>
      <c r="N312" s="43">
        <v>2.5</v>
      </c>
      <c r="O312" s="40">
        <v>0.99727065534691051</v>
      </c>
    </row>
    <row r="313" spans="1:15">
      <c r="A313" s="39">
        <v>1</v>
      </c>
      <c r="B313" s="39">
        <v>1985</v>
      </c>
      <c r="C313" s="39">
        <v>5</v>
      </c>
      <c r="D313" s="39">
        <v>10</v>
      </c>
      <c r="E313" s="39">
        <v>5</v>
      </c>
      <c r="F313" s="40">
        <v>5.89573537152246E-4</v>
      </c>
      <c r="G313" s="40">
        <v>2.9435291185758564E-3</v>
      </c>
      <c r="H313" s="41">
        <v>95577.218266073731</v>
      </c>
      <c r="I313" s="41">
        <v>281.33432503866788</v>
      </c>
      <c r="J313" s="41">
        <v>477182.75551777199</v>
      </c>
      <c r="K313" s="40">
        <v>0.99524638592963943</v>
      </c>
      <c r="L313" s="41">
        <v>6086330.8553667404</v>
      </c>
      <c r="M313" s="42">
        <v>63.679723743614701</v>
      </c>
      <c r="N313" s="43">
        <v>2.5</v>
      </c>
      <c r="O313" s="40">
        <v>0.99705647088142413</v>
      </c>
    </row>
    <row r="314" spans="1:15">
      <c r="A314" s="39">
        <v>1</v>
      </c>
      <c r="B314" s="39">
        <v>1985</v>
      </c>
      <c r="C314" s="39">
        <v>5</v>
      </c>
      <c r="D314" s="39">
        <v>15</v>
      </c>
      <c r="E314" s="39">
        <v>5</v>
      </c>
      <c r="F314" s="40">
        <v>1.48348167906056E-3</v>
      </c>
      <c r="G314" s="40">
        <v>7.3930457587350427E-3</v>
      </c>
      <c r="H314" s="41">
        <v>95295.883941035063</v>
      </c>
      <c r="I314" s="41">
        <v>704.52683059517585</v>
      </c>
      <c r="J314" s="41">
        <v>474914.41285700927</v>
      </c>
      <c r="K314" s="40">
        <v>0.99051159876925687</v>
      </c>
      <c r="L314" s="41">
        <v>5609148.099848968</v>
      </c>
      <c r="M314" s="42">
        <v>58.860339690218566</v>
      </c>
      <c r="N314" s="43">
        <v>2.7786412380576953</v>
      </c>
      <c r="O314" s="40">
        <v>0.99260695424126499</v>
      </c>
    </row>
    <row r="315" spans="1:15">
      <c r="A315" s="39">
        <v>1</v>
      </c>
      <c r="B315" s="39">
        <v>1985</v>
      </c>
      <c r="C315" s="39">
        <v>5</v>
      </c>
      <c r="D315" s="39">
        <v>20</v>
      </c>
      <c r="E315" s="39">
        <v>5</v>
      </c>
      <c r="F315" s="40">
        <v>2.2795018622807483E-3</v>
      </c>
      <c r="G315" s="40">
        <v>1.1336093264824374E-2</v>
      </c>
      <c r="H315" s="41">
        <v>94591.357110439887</v>
      </c>
      <c r="I315" s="41">
        <v>1072.2964462502568</v>
      </c>
      <c r="J315" s="41">
        <v>470408.23435755918</v>
      </c>
      <c r="K315" s="40">
        <v>0.98744412138275506</v>
      </c>
      <c r="L315" s="41">
        <v>5134233.6869919589</v>
      </c>
      <c r="M315" s="42">
        <v>54.27804234796524</v>
      </c>
      <c r="N315" s="43">
        <v>2.6232774028559267</v>
      </c>
      <c r="O315" s="40">
        <v>0.98866390673517568</v>
      </c>
    </row>
    <row r="316" spans="1:15">
      <c r="A316" s="39">
        <v>1</v>
      </c>
      <c r="B316" s="39">
        <v>1985</v>
      </c>
      <c r="C316" s="39">
        <v>5</v>
      </c>
      <c r="D316" s="39">
        <v>25</v>
      </c>
      <c r="E316" s="39">
        <v>5</v>
      </c>
      <c r="F316" s="40">
        <v>2.7426328774234022E-3</v>
      </c>
      <c r="G316" s="40">
        <v>1.3622442574814915E-2</v>
      </c>
      <c r="H316" s="41">
        <v>93519.06066418963</v>
      </c>
      <c r="I316" s="41">
        <v>1273.9580335485516</v>
      </c>
      <c r="J316" s="41">
        <v>464501.84566641314</v>
      </c>
      <c r="K316" s="40">
        <v>0.98504224846667188</v>
      </c>
      <c r="L316" s="41">
        <v>4663825.4526343998</v>
      </c>
      <c r="M316" s="42">
        <v>49.870319692168103</v>
      </c>
      <c r="N316" s="43">
        <v>2.5717742868512254</v>
      </c>
      <c r="O316" s="40">
        <v>0.98637755742518507</v>
      </c>
    </row>
    <row r="317" spans="1:15">
      <c r="A317" s="39">
        <v>1</v>
      </c>
      <c r="B317" s="39">
        <v>1985</v>
      </c>
      <c r="C317" s="39">
        <v>5</v>
      </c>
      <c r="D317" s="39">
        <v>30</v>
      </c>
      <c r="E317" s="39">
        <v>5</v>
      </c>
      <c r="F317" s="40">
        <v>3.3065317927042596E-3</v>
      </c>
      <c r="G317" s="40">
        <v>1.6401051270106513E-2</v>
      </c>
      <c r="H317" s="41">
        <v>92245.102630641079</v>
      </c>
      <c r="I317" s="41">
        <v>1512.9166576613788</v>
      </c>
      <c r="J317" s="41">
        <v>457553.9424721626</v>
      </c>
      <c r="K317" s="40">
        <v>0.98195898881047616</v>
      </c>
      <c r="L317" s="41">
        <v>4199323.6069679866</v>
      </c>
      <c r="M317" s="42">
        <v>45.523539865119041</v>
      </c>
      <c r="N317" s="43">
        <v>2.5731837821666885</v>
      </c>
      <c r="O317" s="40">
        <v>0.98359894872989351</v>
      </c>
    </row>
    <row r="318" spans="1:15">
      <c r="A318" s="39">
        <v>1</v>
      </c>
      <c r="B318" s="39">
        <v>1985</v>
      </c>
      <c r="C318" s="39">
        <v>5</v>
      </c>
      <c r="D318" s="39">
        <v>35</v>
      </c>
      <c r="E318" s="39">
        <v>5</v>
      </c>
      <c r="F318" s="40">
        <v>4.0279833268014173E-3</v>
      </c>
      <c r="G318" s="40">
        <v>1.9946281397605022E-2</v>
      </c>
      <c r="H318" s="41">
        <v>90732.1859729797</v>
      </c>
      <c r="I318" s="41">
        <v>1809.7697132368921</v>
      </c>
      <c r="J318" s="41">
        <v>449299.20667621156</v>
      </c>
      <c r="K318" s="40">
        <v>0.97710246767315656</v>
      </c>
      <c r="L318" s="41">
        <v>3741769.6644958244</v>
      </c>
      <c r="M318" s="42">
        <v>41.239716913798745</v>
      </c>
      <c r="N318" s="43">
        <v>2.5899015456028867</v>
      </c>
      <c r="O318" s="40">
        <v>0.98005371860239499</v>
      </c>
    </row>
    <row r="319" spans="1:15">
      <c r="A319" s="39">
        <v>1</v>
      </c>
      <c r="B319" s="39">
        <v>1985</v>
      </c>
      <c r="C319" s="39">
        <v>5</v>
      </c>
      <c r="D319" s="39">
        <v>40</v>
      </c>
      <c r="E319" s="39">
        <v>5</v>
      </c>
      <c r="F319" s="40">
        <v>5.3000014569908483E-3</v>
      </c>
      <c r="G319" s="40">
        <v>2.616619030845635E-2</v>
      </c>
      <c r="H319" s="41">
        <v>88922.416259742808</v>
      </c>
      <c r="I319" s="41">
        <v>2326.7608665401931</v>
      </c>
      <c r="J319" s="41">
        <v>439011.36356691789</v>
      </c>
      <c r="K319" s="40">
        <v>0.97085990420648693</v>
      </c>
      <c r="L319" s="41">
        <v>3292470.4578196127</v>
      </c>
      <c r="M319" s="42">
        <v>37.026326952275909</v>
      </c>
      <c r="N319" s="43">
        <v>2.5929121843431195</v>
      </c>
      <c r="O319" s="40">
        <v>0.97383380969154365</v>
      </c>
    </row>
    <row r="320" spans="1:15">
      <c r="A320" s="39">
        <v>1</v>
      </c>
      <c r="B320" s="39">
        <v>1985</v>
      </c>
      <c r="C320" s="39">
        <v>5</v>
      </c>
      <c r="D320" s="39">
        <v>45</v>
      </c>
      <c r="E320" s="39">
        <v>5</v>
      </c>
      <c r="F320" s="40">
        <v>6.6342414449453244E-3</v>
      </c>
      <c r="G320" s="40">
        <v>3.265333146332746E-2</v>
      </c>
      <c r="H320" s="41">
        <v>86595.655393202615</v>
      </c>
      <c r="I320" s="41">
        <v>2827.6366388383321</v>
      </c>
      <c r="J320" s="41">
        <v>426218.53037813713</v>
      </c>
      <c r="K320" s="40">
        <v>0.96075071843958648</v>
      </c>
      <c r="L320" s="41">
        <v>2853459.0942526949</v>
      </c>
      <c r="M320" s="42">
        <v>32.951527201867904</v>
      </c>
      <c r="N320" s="43">
        <v>2.6094005520267243</v>
      </c>
      <c r="O320" s="40">
        <v>0.9673466685366725</v>
      </c>
    </row>
    <row r="321" spans="1:15">
      <c r="A321" s="39">
        <v>1</v>
      </c>
      <c r="B321" s="39">
        <v>1985</v>
      </c>
      <c r="C321" s="39">
        <v>5</v>
      </c>
      <c r="D321" s="39">
        <v>50</v>
      </c>
      <c r="E321" s="39">
        <v>5</v>
      </c>
      <c r="F321" s="40">
        <v>9.5751591816095622E-3</v>
      </c>
      <c r="G321" s="40">
        <v>4.6806999694907432E-2</v>
      </c>
      <c r="H321" s="41">
        <v>83768.018754364282</v>
      </c>
      <c r="I321" s="41">
        <v>3920.9296282785217</v>
      </c>
      <c r="J321" s="41">
        <v>409489.75927305996</v>
      </c>
      <c r="K321" s="40">
        <v>0.94624431371458839</v>
      </c>
      <c r="L321" s="41">
        <v>2427240.5638745576</v>
      </c>
      <c r="M321" s="42">
        <v>28.975742771140798</v>
      </c>
      <c r="N321" s="43">
        <v>2.6152761244871647</v>
      </c>
      <c r="O321" s="40">
        <v>0.95319300030509257</v>
      </c>
    </row>
    <row r="322" spans="1:15">
      <c r="A322" s="39">
        <v>1</v>
      </c>
      <c r="B322" s="39">
        <v>1985</v>
      </c>
      <c r="C322" s="39">
        <v>5</v>
      </c>
      <c r="D322" s="39">
        <v>55</v>
      </c>
      <c r="E322" s="39">
        <v>5</v>
      </c>
      <c r="F322" s="40">
        <v>1.2696436001719102E-2</v>
      </c>
      <c r="G322" s="40">
        <v>6.161253352396389E-2</v>
      </c>
      <c r="H322" s="41">
        <v>79847.089126085761</v>
      </c>
      <c r="I322" s="41">
        <v>4919.5814555718825</v>
      </c>
      <c r="J322" s="41">
        <v>387477.35623648862</v>
      </c>
      <c r="K322" s="40">
        <v>0.92609400320193136</v>
      </c>
      <c r="L322" s="41">
        <v>2017750.8046014977</v>
      </c>
      <c r="M322" s="42">
        <v>25.270186135593335</v>
      </c>
      <c r="N322" s="43">
        <v>2.6099411098025249</v>
      </c>
      <c r="O322" s="40">
        <v>0.9383874664760361</v>
      </c>
    </row>
    <row r="323" spans="1:15">
      <c r="A323" s="39">
        <v>1</v>
      </c>
      <c r="B323" s="39">
        <v>1985</v>
      </c>
      <c r="C323" s="39">
        <v>5</v>
      </c>
      <c r="D323" s="39">
        <v>60</v>
      </c>
      <c r="E323" s="39">
        <v>5</v>
      </c>
      <c r="F323" s="40">
        <v>1.8427679348869814E-2</v>
      </c>
      <c r="G323" s="40">
        <v>8.8253260597051575E-2</v>
      </c>
      <c r="H323" s="41">
        <v>74927.507670513878</v>
      </c>
      <c r="I323" s="41">
        <v>6612.5968603334477</v>
      </c>
      <c r="J323" s="41">
        <v>358840.45598715061</v>
      </c>
      <c r="K323" s="40">
        <v>0.89541093689805618</v>
      </c>
      <c r="L323" s="41">
        <v>1630273.4483650092</v>
      </c>
      <c r="M323" s="42">
        <v>21.758009829100033</v>
      </c>
      <c r="N323" s="43">
        <v>2.6110622348415449</v>
      </c>
      <c r="O323" s="40">
        <v>0.91174673940294837</v>
      </c>
    </row>
    <row r="324" spans="1:15">
      <c r="A324" s="39">
        <v>1</v>
      </c>
      <c r="B324" s="39">
        <v>1985</v>
      </c>
      <c r="C324" s="39">
        <v>5</v>
      </c>
      <c r="D324" s="39">
        <v>65</v>
      </c>
      <c r="E324" s="39">
        <v>5</v>
      </c>
      <c r="F324" s="40">
        <v>2.6015612667763699E-2</v>
      </c>
      <c r="G324" s="40">
        <v>0.12236081103198748</v>
      </c>
      <c r="H324" s="41">
        <v>68314.91081018043</v>
      </c>
      <c r="I324" s="41">
        <v>8359.0678923115702</v>
      </c>
      <c r="J324" s="41">
        <v>321309.6688923802</v>
      </c>
      <c r="K324" s="40">
        <v>0.86060386210849105</v>
      </c>
      <c r="L324" s="41">
        <v>1271432.9923778586</v>
      </c>
      <c r="M324" s="42">
        <v>18.611354055788169</v>
      </c>
      <c r="N324" s="43">
        <v>2.5757003747797054</v>
      </c>
      <c r="O324" s="40">
        <v>0.87763918896801252</v>
      </c>
    </row>
    <row r="325" spans="1:15">
      <c r="A325" s="39">
        <v>1</v>
      </c>
      <c r="B325" s="39">
        <v>1985</v>
      </c>
      <c r="C325" s="39">
        <v>5</v>
      </c>
      <c r="D325" s="39">
        <v>70</v>
      </c>
      <c r="E325" s="39">
        <v>5</v>
      </c>
      <c r="F325" s="40">
        <v>3.4376451217405735E-2</v>
      </c>
      <c r="G325" s="40">
        <v>0.15854648328056761</v>
      </c>
      <c r="H325" s="41">
        <v>59955.84291786886</v>
      </c>
      <c r="I325" s="41">
        <v>9505.7880467502255</v>
      </c>
      <c r="J325" s="41">
        <v>276520.34198158287</v>
      </c>
      <c r="K325" s="40">
        <v>0.81599635874403542</v>
      </c>
      <c r="L325" s="41">
        <v>950123.32348547829</v>
      </c>
      <c r="M325" s="42">
        <v>15.847051383916238</v>
      </c>
      <c r="N325" s="43">
        <v>2.5531883844482506</v>
      </c>
      <c r="O325" s="40">
        <v>0.84145351671943236</v>
      </c>
    </row>
    <row r="326" spans="1:15">
      <c r="A326" s="39">
        <v>1</v>
      </c>
      <c r="B326" s="39">
        <v>1985</v>
      </c>
      <c r="C326" s="39">
        <v>5</v>
      </c>
      <c r="D326" s="39">
        <v>75</v>
      </c>
      <c r="E326" s="39">
        <v>5</v>
      </c>
      <c r="F326" s="40">
        <v>4.7359413306664135E-2</v>
      </c>
      <c r="G326" s="40">
        <v>0.21181659230087796</v>
      </c>
      <c r="H326" s="41">
        <v>50450.054871118635</v>
      </c>
      <c r="I326" s="41">
        <v>10686.158704192654</v>
      </c>
      <c r="J326" s="41">
        <v>225639.59217562704</v>
      </c>
      <c r="K326" s="40">
        <v>0.76866399174808198</v>
      </c>
      <c r="L326" s="41">
        <v>673602.98150389548</v>
      </c>
      <c r="M326" s="42">
        <v>13.351878074755394</v>
      </c>
      <c r="N326" s="43">
        <v>2.5097990852853798</v>
      </c>
      <c r="O326" s="40">
        <v>0.7881834076991221</v>
      </c>
    </row>
    <row r="327" spans="1:15">
      <c r="A327" s="39">
        <v>1</v>
      </c>
      <c r="B327" s="39">
        <v>1985</v>
      </c>
      <c r="C327" s="39">
        <v>5</v>
      </c>
      <c r="D327" s="39">
        <v>80</v>
      </c>
      <c r="E327" s="39">
        <v>5</v>
      </c>
      <c r="F327" s="40">
        <v>5.785856597026779E-2</v>
      </c>
      <c r="G327" s="40">
        <v>0.25236584493594744</v>
      </c>
      <c r="H327" s="41">
        <v>39763.896166925981</v>
      </c>
      <c r="I327" s="41">
        <v>10035.04925411156</v>
      </c>
      <c r="J327" s="41">
        <v>173441.02961812678</v>
      </c>
      <c r="K327" s="40">
        <v>0.72233344137770217</v>
      </c>
      <c r="L327" s="41">
        <v>447963.38932826847</v>
      </c>
      <c r="M327" s="42">
        <v>11.265580904037932</v>
      </c>
      <c r="N327" s="43">
        <v>2.4710187689307976</v>
      </c>
      <c r="O327" s="40">
        <v>0.74763415506405262</v>
      </c>
    </row>
    <row r="328" spans="1:15">
      <c r="A328" s="39">
        <v>1</v>
      </c>
      <c r="B328" s="39">
        <v>1985</v>
      </c>
      <c r="C328" s="39">
        <v>5</v>
      </c>
      <c r="D328" s="39">
        <v>85</v>
      </c>
      <c r="E328" s="39">
        <v>5</v>
      </c>
      <c r="F328" s="40">
        <v>7.3496762168485746E-2</v>
      </c>
      <c r="G328" s="40">
        <v>0.30972745715563882</v>
      </c>
      <c r="H328" s="41">
        <v>29728.846912814421</v>
      </c>
      <c r="I328" s="41">
        <v>9207.8401584752755</v>
      </c>
      <c r="J328" s="41">
        <v>125282.25580015348</v>
      </c>
      <c r="K328" s="40">
        <v>0.65072458764575714</v>
      </c>
      <c r="L328" s="41">
        <v>274522.35971014173</v>
      </c>
      <c r="M328" s="42">
        <v>9.2342081250319428</v>
      </c>
      <c r="N328" s="43">
        <v>2.4628166473529305</v>
      </c>
      <c r="O328" s="40">
        <v>0.69027254284436124</v>
      </c>
    </row>
    <row r="329" spans="1:15">
      <c r="A329" s="39">
        <v>1</v>
      </c>
      <c r="B329" s="39">
        <v>1985</v>
      </c>
      <c r="C329" s="39">
        <v>5</v>
      </c>
      <c r="D329" s="39">
        <v>90</v>
      </c>
      <c r="E329" s="39">
        <v>5</v>
      </c>
      <c r="F329" s="40">
        <v>0.1009362413502944</v>
      </c>
      <c r="G329" s="40">
        <v>0.40099157373271244</v>
      </c>
      <c r="H329" s="41">
        <v>20521.006754339145</v>
      </c>
      <c r="I329" s="41">
        <v>8228.7507930020747</v>
      </c>
      <c r="J329" s="41">
        <v>81524.244244885136</v>
      </c>
      <c r="K329" s="40">
        <v>0.54068700118191615</v>
      </c>
      <c r="L329" s="41">
        <v>149240.10390998825</v>
      </c>
      <c r="M329" s="42">
        <v>7.2725527405438619</v>
      </c>
      <c r="N329" s="43">
        <v>2.4381543375042787</v>
      </c>
      <c r="O329" s="40">
        <v>0.59900842626728756</v>
      </c>
    </row>
    <row r="330" spans="1:15">
      <c r="A330" s="39">
        <v>1</v>
      </c>
      <c r="B330" s="39">
        <v>1985</v>
      </c>
      <c r="C330" s="39">
        <v>5</v>
      </c>
      <c r="D330" s="39">
        <v>95</v>
      </c>
      <c r="E330" s="39">
        <v>5</v>
      </c>
      <c r="F330" s="40">
        <v>0.14986645336625748</v>
      </c>
      <c r="G330" s="40">
        <v>0.53740975433045446</v>
      </c>
      <c r="H330" s="41">
        <v>12292.25596133707</v>
      </c>
      <c r="I330" s="41">
        <v>6605.9782563492199</v>
      </c>
      <c r="J330" s="41">
        <v>44079.099144389031</v>
      </c>
      <c r="K330" s="40">
        <v>0.3490579701359845</v>
      </c>
      <c r="L330" s="41">
        <v>67715.859665103111</v>
      </c>
      <c r="M330" s="42">
        <v>5.5088227806263017</v>
      </c>
      <c r="N330" s="43">
        <v>2.3687196675844722</v>
      </c>
      <c r="O330" s="40">
        <v>0.46259024566954554</v>
      </c>
    </row>
    <row r="331" spans="1:15">
      <c r="A331" s="39">
        <v>1</v>
      </c>
      <c r="B331" s="39">
        <v>1985</v>
      </c>
      <c r="C331" s="39">
        <v>5</v>
      </c>
      <c r="D331" s="39">
        <v>100</v>
      </c>
      <c r="E331" s="39">
        <v>0</v>
      </c>
      <c r="F331" s="40">
        <v>0.24056924805768881</v>
      </c>
      <c r="G331" s="40">
        <v>1</v>
      </c>
      <c r="H331" s="41">
        <v>5686.2777049878505</v>
      </c>
      <c r="I331" s="41">
        <v>5686.2777049878505</v>
      </c>
      <c r="J331" s="41">
        <v>23636.760520714077</v>
      </c>
      <c r="K331" s="40">
        <v>0</v>
      </c>
      <c r="L331" s="41">
        <v>23636.760520714077</v>
      </c>
      <c r="M331" s="42">
        <v>4.1568072730567742</v>
      </c>
      <c r="N331" s="43">
        <v>4.1568072730567742</v>
      </c>
      <c r="O331" s="40">
        <v>0</v>
      </c>
    </row>
    <row r="332" spans="1:15">
      <c r="A332" s="44">
        <v>2</v>
      </c>
      <c r="B332" s="44">
        <v>1985</v>
      </c>
      <c r="C332" s="44">
        <v>5</v>
      </c>
      <c r="D332" s="44">
        <v>0</v>
      </c>
      <c r="E332" s="44">
        <v>1</v>
      </c>
      <c r="F332" s="45">
        <v>3.1358839813534475E-2</v>
      </c>
      <c r="G332" s="45">
        <v>3.053609463448869E-2</v>
      </c>
      <c r="H332" s="46">
        <v>100000</v>
      </c>
      <c r="I332" s="46">
        <v>3053.6094634488691</v>
      </c>
      <c r="J332" s="46">
        <v>97376.353258162606</v>
      </c>
      <c r="K332" s="45">
        <v>0.9670612562155172</v>
      </c>
      <c r="L332" s="46">
        <v>7706006.0675499439</v>
      </c>
      <c r="M332" s="47">
        <v>77.060060675499443</v>
      </c>
      <c r="N332" s="48">
        <v>0.14080475147789653</v>
      </c>
      <c r="O332" s="45">
        <v>0.9694639053655113</v>
      </c>
    </row>
    <row r="333" spans="1:15">
      <c r="A333" s="44">
        <v>2</v>
      </c>
      <c r="B333" s="44">
        <v>1985</v>
      </c>
      <c r="C333" s="44">
        <v>5</v>
      </c>
      <c r="D333" s="44">
        <v>1</v>
      </c>
      <c r="E333" s="44">
        <v>4</v>
      </c>
      <c r="F333" s="45">
        <v>1.6726480586722651E-3</v>
      </c>
      <c r="G333" s="45">
        <v>6.6624470967968528E-3</v>
      </c>
      <c r="H333" s="46">
        <v>96946.390536551131</v>
      </c>
      <c r="I333" s="46">
        <v>645.90019817517896</v>
      </c>
      <c r="J333" s="46">
        <v>386154.27484959597</v>
      </c>
      <c r="K333" s="45">
        <v>0.99478993316814956</v>
      </c>
      <c r="L333" s="46">
        <v>7608629.7142917812</v>
      </c>
      <c r="M333" s="47">
        <v>78.482857094335486</v>
      </c>
      <c r="N333" s="48">
        <v>1.4743972811630548</v>
      </c>
      <c r="O333" s="45">
        <v>0.99333755290320314</v>
      </c>
    </row>
    <row r="334" spans="1:15">
      <c r="A334" s="44">
        <v>2</v>
      </c>
      <c r="B334" s="44">
        <v>1985</v>
      </c>
      <c r="C334" s="44">
        <v>5</v>
      </c>
      <c r="D334" s="44">
        <v>5</v>
      </c>
      <c r="E334" s="44">
        <v>5</v>
      </c>
      <c r="F334" s="45">
        <v>4.0834830156930328E-4</v>
      </c>
      <c r="G334" s="45">
        <v>2.0396592793402698E-3</v>
      </c>
      <c r="H334" s="46">
        <v>96300.490338375952</v>
      </c>
      <c r="I334" s="46">
        <v>196.42018872368499</v>
      </c>
      <c r="J334" s="46">
        <v>481011.40122007055</v>
      </c>
      <c r="K334" s="45">
        <v>0.99801625182023901</v>
      </c>
      <c r="L334" s="46">
        <v>7222475.4394421857</v>
      </c>
      <c r="M334" s="47">
        <v>74.999363077635479</v>
      </c>
      <c r="N334" s="48">
        <v>2.5</v>
      </c>
      <c r="O334" s="45">
        <v>0.99796034072065976</v>
      </c>
    </row>
    <row r="335" spans="1:15">
      <c r="A335" s="44">
        <v>2</v>
      </c>
      <c r="B335" s="44">
        <v>1985</v>
      </c>
      <c r="C335" s="44">
        <v>5</v>
      </c>
      <c r="D335" s="44">
        <v>10</v>
      </c>
      <c r="E335" s="44">
        <v>5</v>
      </c>
      <c r="F335" s="45">
        <v>3.8591653155210169E-4</v>
      </c>
      <c r="G335" s="45">
        <v>1.9277228075113369E-3</v>
      </c>
      <c r="H335" s="46">
        <v>96104.070149652267</v>
      </c>
      <c r="I335" s="46">
        <v>185.26200792215241</v>
      </c>
      <c r="J335" s="46">
        <v>480057.19572845596</v>
      </c>
      <c r="K335" s="45">
        <v>0.99759332482292484</v>
      </c>
      <c r="L335" s="46">
        <v>6741464.0382221155</v>
      </c>
      <c r="M335" s="47">
        <v>70.147539305300782</v>
      </c>
      <c r="N335" s="48">
        <v>2.5</v>
      </c>
      <c r="O335" s="45">
        <v>0.9980722771924887</v>
      </c>
    </row>
    <row r="336" spans="1:15">
      <c r="A336" s="44">
        <v>2</v>
      </c>
      <c r="B336" s="44">
        <v>1985</v>
      </c>
      <c r="C336" s="44">
        <v>5</v>
      </c>
      <c r="D336" s="44">
        <v>15</v>
      </c>
      <c r="E336" s="44">
        <v>5</v>
      </c>
      <c r="F336" s="45">
        <v>6.1309711466678372E-4</v>
      </c>
      <c r="G336" s="45">
        <v>3.061061230631378E-3</v>
      </c>
      <c r="H336" s="46">
        <v>95918.808141730115</v>
      </c>
      <c r="I336" s="46">
        <v>293.61334489101137</v>
      </c>
      <c r="J336" s="46">
        <v>478901.85399191995</v>
      </c>
      <c r="K336" s="45">
        <v>0.99653973410570873</v>
      </c>
      <c r="L336" s="46">
        <v>6261406.8424936598</v>
      </c>
      <c r="M336" s="47">
        <v>65.27819688128082</v>
      </c>
      <c r="N336" s="48">
        <v>2.6425229684721585</v>
      </c>
      <c r="O336" s="45">
        <v>0.99693893876936868</v>
      </c>
    </row>
    <row r="337" spans="1:15">
      <c r="A337" s="44">
        <v>2</v>
      </c>
      <c r="B337" s="44">
        <v>1985</v>
      </c>
      <c r="C337" s="44">
        <v>5</v>
      </c>
      <c r="D337" s="44">
        <v>20</v>
      </c>
      <c r="E337" s="44">
        <v>5</v>
      </c>
      <c r="F337" s="45">
        <v>7.695934022789602E-4</v>
      </c>
      <c r="G337" s="45">
        <v>3.8408747126416226E-3</v>
      </c>
      <c r="H337" s="46">
        <v>95625.194796839103</v>
      </c>
      <c r="I337" s="46">
        <v>367.2843925866182</v>
      </c>
      <c r="J337" s="46">
        <v>477244.72623983887</v>
      </c>
      <c r="K337" s="45">
        <v>0.99561872072103985</v>
      </c>
      <c r="L337" s="46">
        <v>5782504.9885017397</v>
      </c>
      <c r="M337" s="47">
        <v>60.470517218678445</v>
      </c>
      <c r="N337" s="48">
        <v>2.600639280775253</v>
      </c>
      <c r="O337" s="45">
        <v>0.99615912528735839</v>
      </c>
    </row>
    <row r="338" spans="1:15">
      <c r="A338" s="44">
        <v>2</v>
      </c>
      <c r="B338" s="44">
        <v>1985</v>
      </c>
      <c r="C338" s="44">
        <v>5</v>
      </c>
      <c r="D338" s="44">
        <v>25</v>
      </c>
      <c r="E338" s="44">
        <v>5</v>
      </c>
      <c r="F338" s="45">
        <v>1.0015337263384408E-3</v>
      </c>
      <c r="G338" s="45">
        <v>4.995727259429426E-3</v>
      </c>
      <c r="H338" s="46">
        <v>95257.910404252485</v>
      </c>
      <c r="I338" s="46">
        <v>475.88253968281788</v>
      </c>
      <c r="J338" s="46">
        <v>475153.78380977124</v>
      </c>
      <c r="K338" s="45">
        <v>0.99422404807204601</v>
      </c>
      <c r="L338" s="46">
        <v>5305260.2622619011</v>
      </c>
      <c r="M338" s="47">
        <v>55.693645176002775</v>
      </c>
      <c r="N338" s="48">
        <v>2.6133433845919587</v>
      </c>
      <c r="O338" s="45">
        <v>0.99500427274057057</v>
      </c>
    </row>
    <row r="339" spans="1:15">
      <c r="A339" s="44">
        <v>2</v>
      </c>
      <c r="B339" s="44">
        <v>1985</v>
      </c>
      <c r="C339" s="44">
        <v>5</v>
      </c>
      <c r="D339" s="44">
        <v>30</v>
      </c>
      <c r="E339" s="44">
        <v>5</v>
      </c>
      <c r="F339" s="45">
        <v>1.3393315292397122E-3</v>
      </c>
      <c r="G339" s="45">
        <v>6.6754500730729022E-3</v>
      </c>
      <c r="H339" s="46">
        <v>94782.027864569667</v>
      </c>
      <c r="I339" s="46">
        <v>632.71269483452488</v>
      </c>
      <c r="J339" s="46">
        <v>472409.31839610054</v>
      </c>
      <c r="K339" s="45">
        <v>0.9920834392186717</v>
      </c>
      <c r="L339" s="46">
        <v>4830106.4784521302</v>
      </c>
      <c r="M339" s="47">
        <v>50.960151278401433</v>
      </c>
      <c r="N339" s="48">
        <v>2.6279582518250391</v>
      </c>
      <c r="O339" s="45">
        <v>0.99332454992692709</v>
      </c>
    </row>
    <row r="340" spans="1:15">
      <c r="A340" s="44">
        <v>2</v>
      </c>
      <c r="B340" s="44">
        <v>1985</v>
      </c>
      <c r="C340" s="44">
        <v>5</v>
      </c>
      <c r="D340" s="44">
        <v>35</v>
      </c>
      <c r="E340" s="44">
        <v>5</v>
      </c>
      <c r="F340" s="45">
        <v>1.8759692804700709E-3</v>
      </c>
      <c r="G340" s="45">
        <v>9.3384589206330394E-3</v>
      </c>
      <c r="H340" s="46">
        <v>94149.315169735142</v>
      </c>
      <c r="I340" s="46">
        <v>879.20951211830834</v>
      </c>
      <c r="J340" s="46">
        <v>468669.46131335193</v>
      </c>
      <c r="K340" s="45">
        <v>0.98885405999508225</v>
      </c>
      <c r="L340" s="46">
        <v>4357697.1600560294</v>
      </c>
      <c r="M340" s="47">
        <v>46.284958655300308</v>
      </c>
      <c r="N340" s="48">
        <v>2.6375204013440481</v>
      </c>
      <c r="O340" s="45">
        <v>0.99066154107936699</v>
      </c>
    </row>
    <row r="341" spans="1:15">
      <c r="A341" s="44">
        <v>2</v>
      </c>
      <c r="B341" s="44">
        <v>1985</v>
      </c>
      <c r="C341" s="44">
        <v>5</v>
      </c>
      <c r="D341" s="44">
        <v>40</v>
      </c>
      <c r="E341" s="44">
        <v>5</v>
      </c>
      <c r="F341" s="45">
        <v>2.6406583206932677E-3</v>
      </c>
      <c r="G341" s="45">
        <v>1.312105024702543E-2</v>
      </c>
      <c r="H341" s="46">
        <v>93270.105657616834</v>
      </c>
      <c r="I341" s="46">
        <v>1223.8017428789608</v>
      </c>
      <c r="J341" s="46">
        <v>463445.69961541618</v>
      </c>
      <c r="K341" s="45">
        <v>0.98484655745805882</v>
      </c>
      <c r="L341" s="46">
        <v>3889027.6987426779</v>
      </c>
      <c r="M341" s="47">
        <v>41.696400699049526</v>
      </c>
      <c r="N341" s="48">
        <v>2.626389495218004</v>
      </c>
      <c r="O341" s="45">
        <v>0.98687894975297452</v>
      </c>
    </row>
    <row r="342" spans="1:15">
      <c r="A342" s="44">
        <v>2</v>
      </c>
      <c r="B342" s="44">
        <v>1985</v>
      </c>
      <c r="C342" s="44">
        <v>5</v>
      </c>
      <c r="D342" s="44">
        <v>45</v>
      </c>
      <c r="E342" s="44">
        <v>5</v>
      </c>
      <c r="F342" s="45">
        <v>3.5331917316098025E-3</v>
      </c>
      <c r="G342" s="45">
        <v>1.7519765099688212E-2</v>
      </c>
      <c r="H342" s="46">
        <v>92046.303914737873</v>
      </c>
      <c r="I342" s="46">
        <v>1612.6296228807332</v>
      </c>
      <c r="J342" s="46">
        <v>456422.90183498425</v>
      </c>
      <c r="K342" s="45">
        <v>0.97841405801600345</v>
      </c>
      <c r="L342" s="46">
        <v>3425581.9991272618</v>
      </c>
      <c r="M342" s="47">
        <v>37.215856079352896</v>
      </c>
      <c r="N342" s="48">
        <v>2.6382563704233881</v>
      </c>
      <c r="O342" s="45">
        <v>0.98248023490031178</v>
      </c>
    </row>
    <row r="343" spans="1:15">
      <c r="A343" s="44">
        <v>2</v>
      </c>
      <c r="B343" s="44">
        <v>1985</v>
      </c>
      <c r="C343" s="44">
        <v>5</v>
      </c>
      <c r="D343" s="44">
        <v>50</v>
      </c>
      <c r="E343" s="44">
        <v>5</v>
      </c>
      <c r="F343" s="45">
        <v>5.3121186349931494E-3</v>
      </c>
      <c r="G343" s="45">
        <v>2.6231776352364452E-2</v>
      </c>
      <c r="H343" s="46">
        <v>90433.67429185714</v>
      </c>
      <c r="I343" s="46">
        <v>2372.2359187465627</v>
      </c>
      <c r="J343" s="46">
        <v>446570.58355580695</v>
      </c>
      <c r="K343" s="45">
        <v>0.9692778858158565</v>
      </c>
      <c r="L343" s="46">
        <v>2969159.0972922775</v>
      </c>
      <c r="M343" s="47">
        <v>32.832450086124915</v>
      </c>
      <c r="N343" s="48">
        <v>2.6402903862797431</v>
      </c>
      <c r="O343" s="45">
        <v>0.9737682236476356</v>
      </c>
    </row>
    <row r="344" spans="1:15">
      <c r="A344" s="44">
        <v>2</v>
      </c>
      <c r="B344" s="44">
        <v>1985</v>
      </c>
      <c r="C344" s="44">
        <v>5</v>
      </c>
      <c r="D344" s="44">
        <v>55</v>
      </c>
      <c r="E344" s="44">
        <v>5</v>
      </c>
      <c r="F344" s="45">
        <v>7.3061515850502204E-3</v>
      </c>
      <c r="G344" s="45">
        <v>3.5912142852939109E-2</v>
      </c>
      <c r="H344" s="46">
        <v>88061.438373110577</v>
      </c>
      <c r="I344" s="46">
        <v>3162.474954690435</v>
      </c>
      <c r="J344" s="46">
        <v>432850.99109652586</v>
      </c>
      <c r="K344" s="45">
        <v>0.95530242746042771</v>
      </c>
      <c r="L344" s="46">
        <v>2522588.5137364706</v>
      </c>
      <c r="M344" s="47">
        <v>28.645779132614521</v>
      </c>
      <c r="N344" s="48">
        <v>2.6422893854168414</v>
      </c>
      <c r="O344" s="45">
        <v>0.96408785714706091</v>
      </c>
    </row>
    <row r="345" spans="1:15">
      <c r="A345" s="44">
        <v>2</v>
      </c>
      <c r="B345" s="44">
        <v>1985</v>
      </c>
      <c r="C345" s="44">
        <v>5</v>
      </c>
      <c r="D345" s="44">
        <v>60</v>
      </c>
      <c r="E345" s="44">
        <v>5</v>
      </c>
      <c r="F345" s="45">
        <v>1.1314004686824551E-2</v>
      </c>
      <c r="G345" s="45">
        <v>5.5105286432164571E-2</v>
      </c>
      <c r="H345" s="46">
        <v>84898.963418420142</v>
      </c>
      <c r="I345" s="46">
        <v>4678.3816969659092</v>
      </c>
      <c r="J345" s="46">
        <v>413503.60252316314</v>
      </c>
      <c r="K345" s="45">
        <v>0.93262851816515857</v>
      </c>
      <c r="L345" s="46">
        <v>2089737.5226399449</v>
      </c>
      <c r="M345" s="47">
        <v>24.614405624021366</v>
      </c>
      <c r="N345" s="48">
        <v>2.6506374894408942</v>
      </c>
      <c r="O345" s="45">
        <v>0.94489471356783539</v>
      </c>
    </row>
    <row r="346" spans="1:15">
      <c r="A346" s="44">
        <v>2</v>
      </c>
      <c r="B346" s="44">
        <v>1985</v>
      </c>
      <c r="C346" s="44">
        <v>5</v>
      </c>
      <c r="D346" s="44">
        <v>65</v>
      </c>
      <c r="E346" s="44">
        <v>5</v>
      </c>
      <c r="F346" s="45">
        <v>1.6859540061947967E-2</v>
      </c>
      <c r="G346" s="45">
        <v>8.1049045488978164E-2</v>
      </c>
      <c r="H346" s="46">
        <v>80220.581721454233</v>
      </c>
      <c r="I346" s="46">
        <v>6501.801577094433</v>
      </c>
      <c r="J346" s="46">
        <v>385645.25207713235</v>
      </c>
      <c r="K346" s="45">
        <v>0.90387201534992079</v>
      </c>
      <c r="L346" s="46">
        <v>1676233.9201167817</v>
      </c>
      <c r="M346" s="47">
        <v>20.895309958447843</v>
      </c>
      <c r="N346" s="48">
        <v>2.6225579407720634</v>
      </c>
      <c r="O346" s="45">
        <v>0.91895095451102182</v>
      </c>
    </row>
    <row r="347" spans="1:15">
      <c r="A347" s="44">
        <v>2</v>
      </c>
      <c r="B347" s="44">
        <v>1985</v>
      </c>
      <c r="C347" s="44">
        <v>5</v>
      </c>
      <c r="D347" s="44">
        <v>70</v>
      </c>
      <c r="E347" s="44">
        <v>5</v>
      </c>
      <c r="F347" s="45">
        <v>2.4116947943085623E-2</v>
      </c>
      <c r="G347" s="45">
        <v>0.11403525423327159</v>
      </c>
      <c r="H347" s="46">
        <v>73718.7801443598</v>
      </c>
      <c r="I347" s="46">
        <v>8406.5398355287325</v>
      </c>
      <c r="J347" s="46">
        <v>348573.95120508585</v>
      </c>
      <c r="K347" s="45">
        <v>0.85786641044192213</v>
      </c>
      <c r="L347" s="46">
        <v>1290588.6680396493</v>
      </c>
      <c r="M347" s="47">
        <v>17.506918393282607</v>
      </c>
      <c r="N347" s="48">
        <v>2.6185267769620917</v>
      </c>
      <c r="O347" s="45">
        <v>0.88596474576672846</v>
      </c>
    </row>
    <row r="348" spans="1:15">
      <c r="A348" s="44">
        <v>2</v>
      </c>
      <c r="B348" s="44">
        <v>1985</v>
      </c>
      <c r="C348" s="44">
        <v>5</v>
      </c>
      <c r="D348" s="44">
        <v>75</v>
      </c>
      <c r="E348" s="44">
        <v>5</v>
      </c>
      <c r="F348" s="45">
        <v>3.7902409346420883E-2</v>
      </c>
      <c r="G348" s="45">
        <v>0.1735348998553099</v>
      </c>
      <c r="H348" s="46">
        <v>65312.240308831068</v>
      </c>
      <c r="I348" s="46">
        <v>11333.953081318934</v>
      </c>
      <c r="J348" s="46">
        <v>299029.88429386471</v>
      </c>
      <c r="K348" s="45">
        <v>0.80367104468911643</v>
      </c>
      <c r="L348" s="46">
        <v>942014.7168345633</v>
      </c>
      <c r="M348" s="47">
        <v>14.423249185454608</v>
      </c>
      <c r="N348" s="48">
        <v>2.5708989570753742</v>
      </c>
      <c r="O348" s="45">
        <v>0.8264651001446901</v>
      </c>
    </row>
    <row r="349" spans="1:15">
      <c r="A349" s="44">
        <v>2</v>
      </c>
      <c r="B349" s="44">
        <v>1985</v>
      </c>
      <c r="C349" s="44">
        <v>5</v>
      </c>
      <c r="D349" s="44">
        <v>80</v>
      </c>
      <c r="E349" s="44">
        <v>5</v>
      </c>
      <c r="F349" s="45">
        <v>4.9513923602589979E-2</v>
      </c>
      <c r="G349" s="45">
        <v>0.22044545871862539</v>
      </c>
      <c r="H349" s="46">
        <v>53978.287227512134</v>
      </c>
      <c r="I349" s="46">
        <v>11899.268288714629</v>
      </c>
      <c r="J349" s="46">
        <v>240321.65950371587</v>
      </c>
      <c r="K349" s="45">
        <v>0.75011709374410496</v>
      </c>
      <c r="L349" s="46">
        <v>642984.83254069858</v>
      </c>
      <c r="M349" s="47">
        <v>11.911916171600501</v>
      </c>
      <c r="N349" s="48">
        <v>2.5149920216616151</v>
      </c>
      <c r="O349" s="45">
        <v>0.77955454128137458</v>
      </c>
    </row>
    <row r="350" spans="1:15">
      <c r="A350" s="44">
        <v>2</v>
      </c>
      <c r="B350" s="44">
        <v>1985</v>
      </c>
      <c r="C350" s="44">
        <v>5</v>
      </c>
      <c r="D350" s="44">
        <v>85</v>
      </c>
      <c r="E350" s="44">
        <v>5</v>
      </c>
      <c r="F350" s="45">
        <v>6.6827563402047208E-2</v>
      </c>
      <c r="G350" s="45">
        <v>0.28629383586793278</v>
      </c>
      <c r="H350" s="46">
        <v>42079.018938797504</v>
      </c>
      <c r="I350" s="46">
        <v>12046.96374154773</v>
      </c>
      <c r="J350" s="46">
        <v>180269.38479068771</v>
      </c>
      <c r="K350" s="45">
        <v>0.66957074133155825</v>
      </c>
      <c r="L350" s="46">
        <v>402663.17303698265</v>
      </c>
      <c r="M350" s="47">
        <v>9.5692148531942358</v>
      </c>
      <c r="N350" s="48">
        <v>2.4993109841111365</v>
      </c>
      <c r="O350" s="45">
        <v>0.71370616413206722</v>
      </c>
    </row>
    <row r="351" spans="1:15">
      <c r="A351" s="44">
        <v>2</v>
      </c>
      <c r="B351" s="44">
        <v>1985</v>
      </c>
      <c r="C351" s="44">
        <v>5</v>
      </c>
      <c r="D351" s="44">
        <v>90</v>
      </c>
      <c r="E351" s="44">
        <v>5</v>
      </c>
      <c r="F351" s="45">
        <v>9.6276308672584188E-2</v>
      </c>
      <c r="G351" s="45">
        <v>0.38694819177299694</v>
      </c>
      <c r="H351" s="46">
        <v>30032.055197249774</v>
      </c>
      <c r="I351" s="46">
        <v>11620.849453802635</v>
      </c>
      <c r="J351" s="46">
        <v>120703.10561368469</v>
      </c>
      <c r="K351" s="45">
        <v>0.54977154869602318</v>
      </c>
      <c r="L351" s="46">
        <v>222393.78824629495</v>
      </c>
      <c r="M351" s="47">
        <v>7.4052137552897461</v>
      </c>
      <c r="N351" s="48">
        <v>2.4651448252842605</v>
      </c>
      <c r="O351" s="45">
        <v>0.61305180822700311</v>
      </c>
    </row>
    <row r="352" spans="1:15">
      <c r="A352" s="44">
        <v>2</v>
      </c>
      <c r="B352" s="44">
        <v>1985</v>
      </c>
      <c r="C352" s="44">
        <v>5</v>
      </c>
      <c r="D352" s="44">
        <v>95</v>
      </c>
      <c r="E352" s="44">
        <v>5</v>
      </c>
      <c r="F352" s="45">
        <v>0.14805352581688058</v>
      </c>
      <c r="G352" s="45">
        <v>0.53362630307639691</v>
      </c>
      <c r="H352" s="46">
        <v>18411.205743447139</v>
      </c>
      <c r="I352" s="46">
        <v>9824.7036560546221</v>
      </c>
      <c r="J352" s="46">
        <v>66359.133305655079</v>
      </c>
      <c r="K352" s="45">
        <v>0.34744136249533863</v>
      </c>
      <c r="L352" s="46">
        <v>101690.68263261026</v>
      </c>
      <c r="M352" s="47">
        <v>5.5233037993073157</v>
      </c>
      <c r="N352" s="48">
        <v>2.3844610167203855</v>
      </c>
      <c r="O352" s="45">
        <v>0.46637369692360309</v>
      </c>
    </row>
    <row r="353" spans="1:15">
      <c r="A353" s="44">
        <v>2</v>
      </c>
      <c r="B353" s="44">
        <v>1985</v>
      </c>
      <c r="C353" s="44">
        <v>5</v>
      </c>
      <c r="D353" s="44">
        <v>100</v>
      </c>
      <c r="E353" s="44">
        <v>0</v>
      </c>
      <c r="F353" s="45">
        <v>0.24302648060898063</v>
      </c>
      <c r="G353" s="45">
        <v>1</v>
      </c>
      <c r="H353" s="46">
        <v>8586.5020873925168</v>
      </c>
      <c r="I353" s="46">
        <v>8586.5020873925168</v>
      </c>
      <c r="J353" s="46">
        <v>35331.549326955181</v>
      </c>
      <c r="K353" s="45">
        <v>0</v>
      </c>
      <c r="L353" s="46">
        <v>35331.549326955181</v>
      </c>
      <c r="M353" s="47">
        <v>4.114777934874339</v>
      </c>
      <c r="N353" s="48">
        <v>4.114777934874339</v>
      </c>
      <c r="O353" s="45">
        <v>0</v>
      </c>
    </row>
    <row r="354" spans="1:15">
      <c r="A354" s="39">
        <v>1</v>
      </c>
      <c r="B354" s="39">
        <v>1990</v>
      </c>
      <c r="C354" s="39">
        <v>5</v>
      </c>
      <c r="D354" s="39">
        <v>0</v>
      </c>
      <c r="E354" s="39">
        <v>1</v>
      </c>
      <c r="F354" s="40">
        <v>2.8604738975040799E-2</v>
      </c>
      <c r="G354" s="40">
        <v>2.7903757698583942E-2</v>
      </c>
      <c r="H354" s="41">
        <v>100000</v>
      </c>
      <c r="I354" s="41">
        <v>2790.3757698583941</v>
      </c>
      <c r="J354" s="41">
        <v>97549.422572712123</v>
      </c>
      <c r="K354" s="40">
        <v>0.97026988536241687</v>
      </c>
      <c r="L354" s="41">
        <v>7168799.4166514901</v>
      </c>
      <c r="M354" s="42">
        <v>71.687994166514898</v>
      </c>
      <c r="N354" s="43">
        <v>0.12177511940900951</v>
      </c>
      <c r="O354" s="40">
        <v>0.97209624230141611</v>
      </c>
    </row>
    <row r="355" spans="1:15">
      <c r="A355" s="39">
        <v>1</v>
      </c>
      <c r="B355" s="39">
        <v>1990</v>
      </c>
      <c r="C355" s="39">
        <v>5</v>
      </c>
      <c r="D355" s="39">
        <v>1</v>
      </c>
      <c r="E355" s="39">
        <v>4</v>
      </c>
      <c r="F355" s="40">
        <v>1.3306060076882496E-3</v>
      </c>
      <c r="G355" s="40">
        <v>5.3052732754975788E-3</v>
      </c>
      <c r="H355" s="41">
        <v>97209.624230141606</v>
      </c>
      <c r="I355" s="41">
        <v>515.72362154933217</v>
      </c>
      <c r="J355" s="41">
        <v>387585.5201084963</v>
      </c>
      <c r="K355" s="40">
        <v>0.99535816317291326</v>
      </c>
      <c r="L355" s="41">
        <v>7071249.9940787777</v>
      </c>
      <c r="M355" s="42">
        <v>72.742282979489275</v>
      </c>
      <c r="N355" s="43">
        <v>1.5704490550462851</v>
      </c>
      <c r="O355" s="40">
        <v>0.99469472672450243</v>
      </c>
    </row>
    <row r="356" spans="1:15">
      <c r="A356" s="39">
        <v>1</v>
      </c>
      <c r="B356" s="39">
        <v>1990</v>
      </c>
      <c r="C356" s="39">
        <v>5</v>
      </c>
      <c r="D356" s="39">
        <v>5</v>
      </c>
      <c r="E356" s="39">
        <v>5</v>
      </c>
      <c r="F356" s="40">
        <v>4.8581339488172718E-4</v>
      </c>
      <c r="G356" s="40">
        <v>2.4261203699753125E-3</v>
      </c>
      <c r="H356" s="41">
        <v>96693.900608592274</v>
      </c>
      <c r="I356" s="41">
        <v>234.59104191887309</v>
      </c>
      <c r="J356" s="41">
        <v>482883.02543816419</v>
      </c>
      <c r="K356" s="40">
        <v>0.99742580926437563</v>
      </c>
      <c r="L356" s="41">
        <v>6683664.473970281</v>
      </c>
      <c r="M356" s="42">
        <v>69.121882889233319</v>
      </c>
      <c r="N356" s="43">
        <v>2.5</v>
      </c>
      <c r="O356" s="40">
        <v>0.99757387963002464</v>
      </c>
    </row>
    <row r="357" spans="1:15">
      <c r="A357" s="39">
        <v>1</v>
      </c>
      <c r="B357" s="39">
        <v>1990</v>
      </c>
      <c r="C357" s="39">
        <v>5</v>
      </c>
      <c r="D357" s="39">
        <v>10</v>
      </c>
      <c r="E357" s="39">
        <v>5</v>
      </c>
      <c r="F357" s="40">
        <v>5.4526651939066555E-4</v>
      </c>
      <c r="G357" s="40">
        <v>2.7226212114743282E-3</v>
      </c>
      <c r="H357" s="41">
        <v>96459.309566673401</v>
      </c>
      <c r="I357" s="41">
        <v>262.62216227040335</v>
      </c>
      <c r="J357" s="41">
        <v>481639.992427691</v>
      </c>
      <c r="K357" s="40">
        <v>0.99530297635314346</v>
      </c>
      <c r="L357" s="41">
        <v>6200781.4485321166</v>
      </c>
      <c r="M357" s="42">
        <v>64.283908690493888</v>
      </c>
      <c r="N357" s="43">
        <v>2.5</v>
      </c>
      <c r="O357" s="40">
        <v>0.99727737878852563</v>
      </c>
    </row>
    <row r="358" spans="1:15">
      <c r="A358" s="39">
        <v>1</v>
      </c>
      <c r="B358" s="39">
        <v>1990</v>
      </c>
      <c r="C358" s="39">
        <v>5</v>
      </c>
      <c r="D358" s="39">
        <v>15</v>
      </c>
      <c r="E358" s="39">
        <v>5</v>
      </c>
      <c r="F358" s="40">
        <v>1.522443743839518E-3</v>
      </c>
      <c r="G358" s="40">
        <v>7.586806026156411E-3</v>
      </c>
      <c r="H358" s="41">
        <v>96196.687404402997</v>
      </c>
      <c r="I358" s="41">
        <v>729.82560769600968</v>
      </c>
      <c r="J358" s="41">
        <v>479377.71799398633</v>
      </c>
      <c r="K358" s="40">
        <v>0.99022323714585636</v>
      </c>
      <c r="L358" s="41">
        <v>5719141.4561044257</v>
      </c>
      <c r="M358" s="42">
        <v>59.452582104637585</v>
      </c>
      <c r="N358" s="43">
        <v>2.7998592936499094</v>
      </c>
      <c r="O358" s="40">
        <v>0.99241319397384364</v>
      </c>
    </row>
    <row r="359" spans="1:15">
      <c r="A359" s="39">
        <v>1</v>
      </c>
      <c r="B359" s="39">
        <v>1990</v>
      </c>
      <c r="C359" s="39">
        <v>5</v>
      </c>
      <c r="D359" s="39">
        <v>20</v>
      </c>
      <c r="E359" s="39">
        <v>5</v>
      </c>
      <c r="F359" s="40">
        <v>2.3351321142748805E-3</v>
      </c>
      <c r="G359" s="40">
        <v>1.1611003799787479E-2</v>
      </c>
      <c r="H359" s="41">
        <v>95466.861796706988</v>
      </c>
      <c r="I359" s="41">
        <v>1108.4660950753459</v>
      </c>
      <c r="J359" s="41">
        <v>474690.95572759857</v>
      </c>
      <c r="K359" s="40">
        <v>0.98736002920567856</v>
      </c>
      <c r="L359" s="41">
        <v>5239763.7381104389</v>
      </c>
      <c r="M359" s="42">
        <v>54.885681161996445</v>
      </c>
      <c r="N359" s="43">
        <v>2.615305269434788</v>
      </c>
      <c r="O359" s="40">
        <v>0.98838899620021248</v>
      </c>
    </row>
    <row r="360" spans="1:15">
      <c r="A360" s="39">
        <v>1</v>
      </c>
      <c r="B360" s="39">
        <v>1990</v>
      </c>
      <c r="C360" s="39">
        <v>5</v>
      </c>
      <c r="D360" s="39">
        <v>25</v>
      </c>
      <c r="E360" s="39">
        <v>5</v>
      </c>
      <c r="F360" s="40">
        <v>2.7105007176635894E-3</v>
      </c>
      <c r="G360" s="40">
        <v>1.3463422582298424E-2</v>
      </c>
      <c r="H360" s="41">
        <v>94358.395701631642</v>
      </c>
      <c r="I360" s="41">
        <v>1270.3869555187994</v>
      </c>
      <c r="J360" s="41">
        <v>468690.87591087318</v>
      </c>
      <c r="K360" s="40">
        <v>0.98542358098875416</v>
      </c>
      <c r="L360" s="41">
        <v>4765072.7823828403</v>
      </c>
      <c r="M360" s="42">
        <v>50.499722329429588</v>
      </c>
      <c r="N360" s="43">
        <v>2.5589306991753324</v>
      </c>
      <c r="O360" s="40">
        <v>0.98653657741770162</v>
      </c>
    </row>
    <row r="361" spans="1:15">
      <c r="A361" s="39">
        <v>1</v>
      </c>
      <c r="B361" s="39">
        <v>1990</v>
      </c>
      <c r="C361" s="39">
        <v>5</v>
      </c>
      <c r="D361" s="39">
        <v>30</v>
      </c>
      <c r="E361" s="39">
        <v>5</v>
      </c>
      <c r="F361" s="40">
        <v>3.1836897812633903E-3</v>
      </c>
      <c r="G361" s="40">
        <v>1.5795975550781754E-2</v>
      </c>
      <c r="H361" s="41">
        <v>93088.008746112842</v>
      </c>
      <c r="I361" s="41">
        <v>1470.4159102245612</v>
      </c>
      <c r="J361" s="41">
        <v>461859.04131684848</v>
      </c>
      <c r="K361" s="40">
        <v>0.98277963735838181</v>
      </c>
      <c r="L361" s="41">
        <v>4296381.9064719668</v>
      </c>
      <c r="M361" s="42">
        <v>46.153977986465144</v>
      </c>
      <c r="N361" s="43">
        <v>2.5646329798153062</v>
      </c>
      <c r="O361" s="40">
        <v>0.98420402444921828</v>
      </c>
    </row>
    <row r="362" spans="1:15">
      <c r="A362" s="39">
        <v>1</v>
      </c>
      <c r="B362" s="39">
        <v>1990</v>
      </c>
      <c r="C362" s="39">
        <v>5</v>
      </c>
      <c r="D362" s="39">
        <v>35</v>
      </c>
      <c r="E362" s="39">
        <v>5</v>
      </c>
      <c r="F362" s="40">
        <v>3.8160222543279663E-3</v>
      </c>
      <c r="G362" s="40">
        <v>1.8905911524693123E-2</v>
      </c>
      <c r="H362" s="41">
        <v>91617.592835888281</v>
      </c>
      <c r="I362" s="41">
        <v>1732.1141042606614</v>
      </c>
      <c r="J362" s="41">
        <v>453905.66113606223</v>
      </c>
      <c r="K362" s="40">
        <v>0.97840581326740672</v>
      </c>
      <c r="L362" s="41">
        <v>3834522.8651551181</v>
      </c>
      <c r="M362" s="42">
        <v>41.85356487180119</v>
      </c>
      <c r="N362" s="43">
        <v>2.585434450830054</v>
      </c>
      <c r="O362" s="40">
        <v>0.98109408847530688</v>
      </c>
    </row>
    <row r="363" spans="1:15">
      <c r="A363" s="39">
        <v>1</v>
      </c>
      <c r="B363" s="39">
        <v>1990</v>
      </c>
      <c r="C363" s="39">
        <v>5</v>
      </c>
      <c r="D363" s="39">
        <v>40</v>
      </c>
      <c r="E363" s="39">
        <v>5</v>
      </c>
      <c r="F363" s="40">
        <v>4.9842673378159884E-3</v>
      </c>
      <c r="G363" s="40">
        <v>2.4626144085384077E-2</v>
      </c>
      <c r="H363" s="41">
        <v>89885.47873162762</v>
      </c>
      <c r="I363" s="41">
        <v>2213.5327504287852</v>
      </c>
      <c r="J363" s="41">
        <v>444103.93753050891</v>
      </c>
      <c r="K363" s="40">
        <v>0.97235391876422061</v>
      </c>
      <c r="L363" s="41">
        <v>3380617.2040190557</v>
      </c>
      <c r="M363" s="42">
        <v>37.610270888277888</v>
      </c>
      <c r="N363" s="43">
        <v>2.5950407209480066</v>
      </c>
      <c r="O363" s="40">
        <v>0.97537385591461589</v>
      </c>
    </row>
    <row r="364" spans="1:15">
      <c r="A364" s="39">
        <v>1</v>
      </c>
      <c r="B364" s="39">
        <v>1990</v>
      </c>
      <c r="C364" s="39">
        <v>5</v>
      </c>
      <c r="D364" s="39">
        <v>45</v>
      </c>
      <c r="E364" s="39">
        <v>5</v>
      </c>
      <c r="F364" s="40">
        <v>6.3296612476477117E-3</v>
      </c>
      <c r="G364" s="40">
        <v>3.1176604540534031E-2</v>
      </c>
      <c r="H364" s="41">
        <v>87671.945981198834</v>
      </c>
      <c r="I364" s="41">
        <v>2733.3135891549027</v>
      </c>
      <c r="J364" s="41">
        <v>431826.20399641094</v>
      </c>
      <c r="K364" s="40">
        <v>0.96284173931481942</v>
      </c>
      <c r="L364" s="41">
        <v>2936513.266488547</v>
      </c>
      <c r="M364" s="42">
        <v>33.494332008077926</v>
      </c>
      <c r="N364" s="43">
        <v>2.609668376322932</v>
      </c>
      <c r="O364" s="40">
        <v>0.96882339545946594</v>
      </c>
    </row>
    <row r="365" spans="1:15">
      <c r="A365" s="39">
        <v>1</v>
      </c>
      <c r="B365" s="39">
        <v>1990</v>
      </c>
      <c r="C365" s="39">
        <v>5</v>
      </c>
      <c r="D365" s="39">
        <v>50</v>
      </c>
      <c r="E365" s="39">
        <v>5</v>
      </c>
      <c r="F365" s="40">
        <v>8.9889067889630577E-3</v>
      </c>
      <c r="G365" s="40">
        <v>4.4001300659623814E-2</v>
      </c>
      <c r="H365" s="41">
        <v>84938.632392043932</v>
      </c>
      <c r="I365" s="41">
        <v>3737.4103014995926</v>
      </c>
      <c r="J365" s="41">
        <v>415780.29333762033</v>
      </c>
      <c r="K365" s="40">
        <v>0.94921226295246941</v>
      </c>
      <c r="L365" s="41">
        <v>2504687.0624921359</v>
      </c>
      <c r="M365" s="42">
        <v>29.488196265410391</v>
      </c>
      <c r="N365" s="43">
        <v>2.6152287537113263</v>
      </c>
      <c r="O365" s="40">
        <v>0.95599869934037618</v>
      </c>
    </row>
    <row r="366" spans="1:15">
      <c r="A366" s="39">
        <v>1</v>
      </c>
      <c r="B366" s="39">
        <v>1990</v>
      </c>
      <c r="C366" s="39">
        <v>5</v>
      </c>
      <c r="D366" s="39">
        <v>55</v>
      </c>
      <c r="E366" s="39">
        <v>5</v>
      </c>
      <c r="F366" s="40">
        <v>1.2039992356623929E-2</v>
      </c>
      <c r="G366" s="40">
        <v>5.851819035215694E-2</v>
      </c>
      <c r="H366" s="41">
        <v>81201.222090544339</v>
      </c>
      <c r="I366" s="41">
        <v>4751.7485711222398</v>
      </c>
      <c r="J366" s="41">
        <v>394663.75313004415</v>
      </c>
      <c r="K366" s="40">
        <v>0.92977977617031471</v>
      </c>
      <c r="L366" s="41">
        <v>2088906.7691545158</v>
      </c>
      <c r="M366" s="42">
        <v>25.725065650185126</v>
      </c>
      <c r="N366" s="43">
        <v>2.6130139983398237</v>
      </c>
      <c r="O366" s="40">
        <v>0.941481809647843</v>
      </c>
    </row>
    <row r="367" spans="1:15">
      <c r="A367" s="39">
        <v>1</v>
      </c>
      <c r="B367" s="39">
        <v>1990</v>
      </c>
      <c r="C367" s="39">
        <v>5</v>
      </c>
      <c r="D367" s="39">
        <v>60</v>
      </c>
      <c r="E367" s="39">
        <v>5</v>
      </c>
      <c r="F367" s="40">
        <v>1.7441603423564465E-2</v>
      </c>
      <c r="G367" s="40">
        <v>8.3718077319752893E-2</v>
      </c>
      <c r="H367" s="41">
        <v>76449.473519422099</v>
      </c>
      <c r="I367" s="41">
        <v>6400.2029351533856</v>
      </c>
      <c r="J367" s="41">
        <v>366950.37604778877</v>
      </c>
      <c r="K367" s="40">
        <v>0.90153591767380881</v>
      </c>
      <c r="L367" s="41">
        <v>1694243.0160244717</v>
      </c>
      <c r="M367" s="42">
        <v>22.161604757082426</v>
      </c>
      <c r="N367" s="43">
        <v>2.6099208565243561</v>
      </c>
      <c r="O367" s="40">
        <v>0.91628192268024711</v>
      </c>
    </row>
    <row r="368" spans="1:15">
      <c r="A368" s="39">
        <v>1</v>
      </c>
      <c r="B368" s="39">
        <v>1990</v>
      </c>
      <c r="C368" s="39">
        <v>5</v>
      </c>
      <c r="D368" s="39">
        <v>65</v>
      </c>
      <c r="E368" s="39">
        <v>5</v>
      </c>
      <c r="F368" s="40">
        <v>2.4294985003752174E-2</v>
      </c>
      <c r="G368" s="40">
        <v>0.11473697322851427</v>
      </c>
      <c r="H368" s="41">
        <v>70049.270584268714</v>
      </c>
      <c r="I368" s="41">
        <v>8037.2412837041848</v>
      </c>
      <c r="J368" s="41">
        <v>330818.94401099248</v>
      </c>
      <c r="K368" s="40">
        <v>0.86718864931855011</v>
      </c>
      <c r="L368" s="41">
        <v>1327292.6399766831</v>
      </c>
      <c r="M368" s="42">
        <v>18.947986594378033</v>
      </c>
      <c r="N368" s="43">
        <v>2.5828262180282033</v>
      </c>
      <c r="O368" s="40">
        <v>0.88526302677148572</v>
      </c>
    </row>
    <row r="369" spans="1:15">
      <c r="A369" s="39">
        <v>1</v>
      </c>
      <c r="B369" s="39">
        <v>1990</v>
      </c>
      <c r="C369" s="39">
        <v>5</v>
      </c>
      <c r="D369" s="39">
        <v>70</v>
      </c>
      <c r="E369" s="39">
        <v>5</v>
      </c>
      <c r="F369" s="40">
        <v>3.3094729836068475E-2</v>
      </c>
      <c r="G369" s="40">
        <v>0.15310411107991387</v>
      </c>
      <c r="H369" s="41">
        <v>62012.029300564529</v>
      </c>
      <c r="I369" s="41">
        <v>9494.2966223245021</v>
      </c>
      <c r="J369" s="41">
        <v>286882.4332258816</v>
      </c>
      <c r="K369" s="40">
        <v>0.82360937502961262</v>
      </c>
      <c r="L369" s="41">
        <v>996473.69596569054</v>
      </c>
      <c r="M369" s="42">
        <v>16.06903865596637</v>
      </c>
      <c r="N369" s="43">
        <v>2.5587751047884981</v>
      </c>
      <c r="O369" s="40">
        <v>0.84689588892008616</v>
      </c>
    </row>
    <row r="370" spans="1:15">
      <c r="A370" s="39">
        <v>1</v>
      </c>
      <c r="B370" s="39">
        <v>1990</v>
      </c>
      <c r="C370" s="39">
        <v>5</v>
      </c>
      <c r="D370" s="39">
        <v>75</v>
      </c>
      <c r="E370" s="39">
        <v>5</v>
      </c>
      <c r="F370" s="40">
        <v>4.4850635234863219E-2</v>
      </c>
      <c r="G370" s="40">
        <v>0.20178452995142671</v>
      </c>
      <c r="H370" s="41">
        <v>52517.732678240027</v>
      </c>
      <c r="I370" s="41">
        <v>10597.266002593351</v>
      </c>
      <c r="J370" s="41">
        <v>236279.06153614292</v>
      </c>
      <c r="K370" s="40">
        <v>0.77703317179417419</v>
      </c>
      <c r="L370" s="41">
        <v>709591.26273980888</v>
      </c>
      <c r="M370" s="42">
        <v>13.511460349730937</v>
      </c>
      <c r="N370" s="43">
        <v>2.5173217461353929</v>
      </c>
      <c r="O370" s="40">
        <v>0.79821547004857329</v>
      </c>
    </row>
    <row r="371" spans="1:15">
      <c r="A371" s="39">
        <v>1</v>
      </c>
      <c r="B371" s="39">
        <v>1990</v>
      </c>
      <c r="C371" s="39">
        <v>5</v>
      </c>
      <c r="D371" s="39">
        <v>80</v>
      </c>
      <c r="E371" s="39">
        <v>5</v>
      </c>
      <c r="F371" s="40">
        <v>5.6318596083850793E-2</v>
      </c>
      <c r="G371" s="40">
        <v>0.24665533191733821</v>
      </c>
      <c r="H371" s="41">
        <v>41920.466675646676</v>
      </c>
      <c r="I371" s="41">
        <v>10339.906622011345</v>
      </c>
      <c r="J371" s="41">
        <v>183596.66861398</v>
      </c>
      <c r="K371" s="40">
        <v>0.72563306351308754</v>
      </c>
      <c r="L371" s="41">
        <v>473312.20120366593</v>
      </c>
      <c r="M371" s="42">
        <v>11.290718800099439</v>
      </c>
      <c r="N371" s="43">
        <v>2.4849226675903302</v>
      </c>
      <c r="O371" s="40">
        <v>0.75334466808266176</v>
      </c>
    </row>
    <row r="372" spans="1:15">
      <c r="A372" s="39">
        <v>1</v>
      </c>
      <c r="B372" s="39">
        <v>1990</v>
      </c>
      <c r="C372" s="39">
        <v>5</v>
      </c>
      <c r="D372" s="39">
        <v>85</v>
      </c>
      <c r="E372" s="39">
        <v>5</v>
      </c>
      <c r="F372" s="40">
        <v>7.3270092983119831E-2</v>
      </c>
      <c r="G372" s="40">
        <v>0.30909271895800328</v>
      </c>
      <c r="H372" s="41">
        <v>31580.56005363533</v>
      </c>
      <c r="I372" s="41">
        <v>9761.3211731946503</v>
      </c>
      <c r="J372" s="41">
        <v>133223.81309715944</v>
      </c>
      <c r="K372" s="40">
        <v>0.64894955146827238</v>
      </c>
      <c r="L372" s="41">
        <v>289715.53258968593</v>
      </c>
      <c r="M372" s="42">
        <v>9.1738567048096389</v>
      </c>
      <c r="N372" s="43">
        <v>2.4717574872151897</v>
      </c>
      <c r="O372" s="40">
        <v>0.69090728104199672</v>
      </c>
    </row>
    <row r="373" spans="1:15">
      <c r="A373" s="39">
        <v>1</v>
      </c>
      <c r="B373" s="39">
        <v>1990</v>
      </c>
      <c r="C373" s="39">
        <v>5</v>
      </c>
      <c r="D373" s="39">
        <v>90</v>
      </c>
      <c r="E373" s="39">
        <v>5</v>
      </c>
      <c r="F373" s="40">
        <v>0.10232578075667437</v>
      </c>
      <c r="G373" s="40">
        <v>0.40545089774297988</v>
      </c>
      <c r="H373" s="41">
        <v>21819.23888044068</v>
      </c>
      <c r="I373" s="41">
        <v>8846.6299921432037</v>
      </c>
      <c r="J373" s="41">
        <v>86455.533754294564</v>
      </c>
      <c r="K373" s="40">
        <v>0.53421928811282948</v>
      </c>
      <c r="L373" s="41">
        <v>156491.71949252649</v>
      </c>
      <c r="M373" s="42">
        <v>7.1721896602364827</v>
      </c>
      <c r="N373" s="43">
        <v>2.4407587219069549</v>
      </c>
      <c r="O373" s="40">
        <v>0.59454910225702018</v>
      </c>
    </row>
    <row r="374" spans="1:15">
      <c r="A374" s="39">
        <v>1</v>
      </c>
      <c r="B374" s="39">
        <v>1990</v>
      </c>
      <c r="C374" s="39">
        <v>5</v>
      </c>
      <c r="D374" s="39">
        <v>95</v>
      </c>
      <c r="E374" s="39">
        <v>5</v>
      </c>
      <c r="F374" s="40">
        <v>0.15340050637510522</v>
      </c>
      <c r="G374" s="40">
        <v>0.54614986310505353</v>
      </c>
      <c r="H374" s="41">
        <v>12972.608888297476</v>
      </c>
      <c r="I374" s="41">
        <v>7084.9885684590672</v>
      </c>
      <c r="J374" s="41">
        <v>46186.213695633945</v>
      </c>
      <c r="K374" s="40">
        <v>0.34053784898766354</v>
      </c>
      <c r="L374" s="41">
        <v>70036.185738231929</v>
      </c>
      <c r="M374" s="42">
        <v>5.3987741664987068</v>
      </c>
      <c r="N374" s="43">
        <v>2.3638869610885616</v>
      </c>
      <c r="O374" s="40">
        <v>0.45385013689494647</v>
      </c>
    </row>
    <row r="375" spans="1:15">
      <c r="A375" s="39">
        <v>1</v>
      </c>
      <c r="B375" s="39">
        <v>1990</v>
      </c>
      <c r="C375" s="39">
        <v>5</v>
      </c>
      <c r="D375" s="39">
        <v>100</v>
      </c>
      <c r="E375" s="39">
        <v>0</v>
      </c>
      <c r="F375" s="40">
        <v>0.24686068014346696</v>
      </c>
      <c r="G375" s="40">
        <v>1</v>
      </c>
      <c r="H375" s="41">
        <v>5887.6203198384092</v>
      </c>
      <c r="I375" s="41">
        <v>5887.6203198384092</v>
      </c>
      <c r="J375" s="41">
        <v>23849.972042597979</v>
      </c>
      <c r="K375" s="40">
        <v>0</v>
      </c>
      <c r="L375" s="41">
        <v>23849.972042597979</v>
      </c>
      <c r="M375" s="42">
        <v>4.0508678798860727</v>
      </c>
      <c r="N375" s="43">
        <v>4.0508678798860727</v>
      </c>
      <c r="O375" s="40">
        <v>0</v>
      </c>
    </row>
    <row r="376" spans="1:15">
      <c r="A376" s="44">
        <v>2</v>
      </c>
      <c r="B376" s="44">
        <v>1990</v>
      </c>
      <c r="C376" s="44">
        <v>5</v>
      </c>
      <c r="D376" s="44">
        <v>0</v>
      </c>
      <c r="E376" s="44">
        <v>1</v>
      </c>
      <c r="F376" s="45">
        <v>2.4628009153636509E-2</v>
      </c>
      <c r="G376" s="45">
        <v>2.4106715510706273E-2</v>
      </c>
      <c r="H376" s="46">
        <v>100000</v>
      </c>
      <c r="I376" s="46">
        <v>2410.6715510706272</v>
      </c>
      <c r="J376" s="46">
        <v>97883.330156009411</v>
      </c>
      <c r="K376" s="45">
        <v>0.97396975818468956</v>
      </c>
      <c r="L376" s="46">
        <v>7834816.8711517025</v>
      </c>
      <c r="M376" s="47">
        <v>78.348168711517019</v>
      </c>
      <c r="N376" s="48">
        <v>0.12195842563018222</v>
      </c>
      <c r="O376" s="45">
        <v>0.97589328448929369</v>
      </c>
    </row>
    <row r="377" spans="1:15">
      <c r="A377" s="44">
        <v>2</v>
      </c>
      <c r="B377" s="44">
        <v>1990</v>
      </c>
      <c r="C377" s="44">
        <v>5</v>
      </c>
      <c r="D377" s="44">
        <v>1</v>
      </c>
      <c r="E377" s="44">
        <v>4</v>
      </c>
      <c r="F377" s="45">
        <v>1.2830419156176871E-3</v>
      </c>
      <c r="G377" s="45">
        <v>5.115657671303067E-3</v>
      </c>
      <c r="H377" s="46">
        <v>97589.328448929373</v>
      </c>
      <c r="I377" s="46">
        <v>499.23359671708022</v>
      </c>
      <c r="J377" s="46">
        <v>389101.54893633531</v>
      </c>
      <c r="K377" s="45">
        <v>0.99594674617064682</v>
      </c>
      <c r="L377" s="46">
        <v>7736933.5409956928</v>
      </c>
      <c r="M377" s="47">
        <v>79.280528557429307</v>
      </c>
      <c r="N377" s="48">
        <v>1.4846146821047799</v>
      </c>
      <c r="O377" s="45">
        <v>0.99488434232869694</v>
      </c>
    </row>
    <row r="378" spans="1:15">
      <c r="A378" s="44">
        <v>2</v>
      </c>
      <c r="B378" s="44">
        <v>1990</v>
      </c>
      <c r="C378" s="44">
        <v>5</v>
      </c>
      <c r="D378" s="44">
        <v>5</v>
      </c>
      <c r="E378" s="44">
        <v>5</v>
      </c>
      <c r="F378" s="45">
        <v>3.6244001848207081E-4</v>
      </c>
      <c r="G378" s="45">
        <v>1.8105595443235851E-3</v>
      </c>
      <c r="H378" s="46">
        <v>97090.094852212293</v>
      </c>
      <c r="I378" s="46">
        <v>175.78739789396059</v>
      </c>
      <c r="J378" s="46">
        <v>485011.00576632656</v>
      </c>
      <c r="K378" s="45">
        <v>0.99820468194354761</v>
      </c>
      <c r="L378" s="46">
        <v>7347831.9920593575</v>
      </c>
      <c r="M378" s="47">
        <v>75.680552205083458</v>
      </c>
      <c r="N378" s="48">
        <v>2.5</v>
      </c>
      <c r="O378" s="45">
        <v>0.99818944045567637</v>
      </c>
    </row>
    <row r="379" spans="1:15">
      <c r="A379" s="44">
        <v>2</v>
      </c>
      <c r="B379" s="44">
        <v>1990</v>
      </c>
      <c r="C379" s="44">
        <v>5</v>
      </c>
      <c r="D379" s="44">
        <v>10</v>
      </c>
      <c r="E379" s="44">
        <v>5</v>
      </c>
      <c r="F379" s="45">
        <v>3.5632692426000085E-4</v>
      </c>
      <c r="G379" s="45">
        <v>1.7800489229056759E-3</v>
      </c>
      <c r="H379" s="46">
        <v>96914.307454318332</v>
      </c>
      <c r="I379" s="46">
        <v>172.51220859820023</v>
      </c>
      <c r="J379" s="46">
        <v>484140.25675009616</v>
      </c>
      <c r="K379" s="45">
        <v>0.9977752908174522</v>
      </c>
      <c r="L379" s="46">
        <v>6862820.9862930309</v>
      </c>
      <c r="M379" s="47">
        <v>70.813290282530261</v>
      </c>
      <c r="N379" s="48">
        <v>2.5</v>
      </c>
      <c r="O379" s="45">
        <v>0.99821995107709427</v>
      </c>
    </row>
    <row r="380" spans="1:15">
      <c r="A380" s="44">
        <v>2</v>
      </c>
      <c r="B380" s="44">
        <v>1990</v>
      </c>
      <c r="C380" s="44">
        <v>5</v>
      </c>
      <c r="D380" s="44">
        <v>15</v>
      </c>
      <c r="E380" s="44">
        <v>5</v>
      </c>
      <c r="F380" s="45">
        <v>5.6723704307292332E-4</v>
      </c>
      <c r="G380" s="45">
        <v>2.8323986778454754E-3</v>
      </c>
      <c r="H380" s="46">
        <v>96741.795245720132</v>
      </c>
      <c r="I380" s="46">
        <v>274.01133294637839</v>
      </c>
      <c r="J380" s="46">
        <v>483063.18547526316</v>
      </c>
      <c r="K380" s="45">
        <v>0.99679610793578088</v>
      </c>
      <c r="L380" s="46">
        <v>6378680.7295429343</v>
      </c>
      <c r="M380" s="47">
        <v>65.935108123033601</v>
      </c>
      <c r="N380" s="48">
        <v>2.643196920384832</v>
      </c>
      <c r="O380" s="45">
        <v>0.99716760132215454</v>
      </c>
    </row>
    <row r="381" spans="1:15">
      <c r="A381" s="44">
        <v>2</v>
      </c>
      <c r="B381" s="44">
        <v>1990</v>
      </c>
      <c r="C381" s="44">
        <v>5</v>
      </c>
      <c r="D381" s="44">
        <v>20</v>
      </c>
      <c r="E381" s="44">
        <v>5</v>
      </c>
      <c r="F381" s="45">
        <v>7.1256150006543308E-4</v>
      </c>
      <c r="G381" s="45">
        <v>3.5567253162253993E-3</v>
      </c>
      <c r="H381" s="46">
        <v>96467.783912773753</v>
      </c>
      <c r="I381" s="46">
        <v>343.1094092427229</v>
      </c>
      <c r="J381" s="46">
        <v>481515.50316880253</v>
      </c>
      <c r="K381" s="45">
        <v>0.9959504746590423</v>
      </c>
      <c r="L381" s="46">
        <v>5895617.5440676715</v>
      </c>
      <c r="M381" s="47">
        <v>61.114885249136577</v>
      </c>
      <c r="N381" s="48">
        <v>2.6001346133771284</v>
      </c>
      <c r="O381" s="45">
        <v>0.99644327468377458</v>
      </c>
    </row>
    <row r="382" spans="1:15">
      <c r="A382" s="44">
        <v>2</v>
      </c>
      <c r="B382" s="44">
        <v>1990</v>
      </c>
      <c r="C382" s="44">
        <v>5</v>
      </c>
      <c r="D382" s="44">
        <v>25</v>
      </c>
      <c r="E382" s="44">
        <v>5</v>
      </c>
      <c r="F382" s="45">
        <v>9.2384937192709266E-4</v>
      </c>
      <c r="G382" s="45">
        <v>4.609080603336123E-3</v>
      </c>
      <c r="H382" s="46">
        <v>96124.67450353103</v>
      </c>
      <c r="I382" s="46">
        <v>443.04637275623099</v>
      </c>
      <c r="J382" s="46">
        <v>479565.59393665649</v>
      </c>
      <c r="K382" s="45">
        <v>0.99467093292230369</v>
      </c>
      <c r="L382" s="46">
        <v>5414102.0408988688</v>
      </c>
      <c r="M382" s="47">
        <v>56.323749015139583</v>
      </c>
      <c r="N382" s="48">
        <v>2.6124878883035185</v>
      </c>
      <c r="O382" s="45">
        <v>0.99539091939666391</v>
      </c>
    </row>
    <row r="383" spans="1:15">
      <c r="A383" s="44">
        <v>2</v>
      </c>
      <c r="B383" s="44">
        <v>1990</v>
      </c>
      <c r="C383" s="44">
        <v>5</v>
      </c>
      <c r="D383" s="44">
        <v>30</v>
      </c>
      <c r="E383" s="44">
        <v>5</v>
      </c>
      <c r="F383" s="45">
        <v>1.2340374862932317E-3</v>
      </c>
      <c r="G383" s="45">
        <v>6.1521545925314579E-3</v>
      </c>
      <c r="H383" s="46">
        <v>95681.6281307748</v>
      </c>
      <c r="I383" s="46">
        <v>588.64816792563943</v>
      </c>
      <c r="J383" s="46">
        <v>477009.95671841275</v>
      </c>
      <c r="K383" s="45">
        <v>0.99276695659735925</v>
      </c>
      <c r="L383" s="46">
        <v>4934536.4469622122</v>
      </c>
      <c r="M383" s="47">
        <v>51.572454852229676</v>
      </c>
      <c r="N383" s="48">
        <v>2.624754460056586</v>
      </c>
      <c r="O383" s="45">
        <v>0.99384784540746851</v>
      </c>
    </row>
    <row r="384" spans="1:15">
      <c r="A384" s="44">
        <v>2</v>
      </c>
      <c r="B384" s="44">
        <v>1990</v>
      </c>
      <c r="C384" s="44">
        <v>5</v>
      </c>
      <c r="D384" s="44">
        <v>35</v>
      </c>
      <c r="E384" s="44">
        <v>5</v>
      </c>
      <c r="F384" s="45">
        <v>1.7022578979977816E-3</v>
      </c>
      <c r="G384" s="45">
        <v>8.4771849505808107E-3</v>
      </c>
      <c r="H384" s="46">
        <v>95092.97996284916</v>
      </c>
      <c r="I384" s="46">
        <v>806.12077864694584</v>
      </c>
      <c r="J384" s="46">
        <v>473559.7229979767</v>
      </c>
      <c r="K384" s="45">
        <v>0.98984916604055273</v>
      </c>
      <c r="L384" s="46">
        <v>4457526.4902437991</v>
      </c>
      <c r="M384" s="47">
        <v>46.875452761973193</v>
      </c>
      <c r="N384" s="48">
        <v>2.6366112042578842</v>
      </c>
      <c r="O384" s="45">
        <v>0.99152281504941919</v>
      </c>
    </row>
    <row r="385" spans="1:15">
      <c r="A385" s="44">
        <v>2</v>
      </c>
      <c r="B385" s="44">
        <v>1990</v>
      </c>
      <c r="C385" s="44">
        <v>5</v>
      </c>
      <c r="D385" s="44">
        <v>40</v>
      </c>
      <c r="E385" s="44">
        <v>5</v>
      </c>
      <c r="F385" s="45">
        <v>2.4182585224852777E-3</v>
      </c>
      <c r="G385" s="45">
        <v>1.2022515268573159E-2</v>
      </c>
      <c r="H385" s="46">
        <v>94286.859184202214</v>
      </c>
      <c r="I385" s="46">
        <v>1133.5652041678695</v>
      </c>
      <c r="J385" s="46">
        <v>468752.69687994238</v>
      </c>
      <c r="K385" s="45">
        <v>0.98590090313999812</v>
      </c>
      <c r="L385" s="46">
        <v>3983966.7672458226</v>
      </c>
      <c r="M385" s="47">
        <v>42.253679905304736</v>
      </c>
      <c r="N385" s="48">
        <v>2.6343671883989903</v>
      </c>
      <c r="O385" s="45">
        <v>0.98797748473142688</v>
      </c>
    </row>
    <row r="386" spans="1:15">
      <c r="A386" s="44">
        <v>2</v>
      </c>
      <c r="B386" s="44">
        <v>1990</v>
      </c>
      <c r="C386" s="44">
        <v>5</v>
      </c>
      <c r="D386" s="44">
        <v>45</v>
      </c>
      <c r="E386" s="44">
        <v>5</v>
      </c>
      <c r="F386" s="45">
        <v>3.3237731701923059E-3</v>
      </c>
      <c r="G386" s="45">
        <v>1.6489603202916044E-2</v>
      </c>
      <c r="H386" s="46">
        <v>93153.293980034345</v>
      </c>
      <c r="I386" s="46">
        <v>1536.0608547753509</v>
      </c>
      <c r="J386" s="46">
        <v>462143.70720324497</v>
      </c>
      <c r="K386" s="45">
        <v>0.97982507555916398</v>
      </c>
      <c r="L386" s="46">
        <v>3515214.0703658802</v>
      </c>
      <c r="M386" s="47">
        <v>37.735799993495668</v>
      </c>
      <c r="N386" s="48">
        <v>2.6415239763032594</v>
      </c>
      <c r="O386" s="45">
        <v>0.98351039679708396</v>
      </c>
    </row>
    <row r="387" spans="1:15">
      <c r="A387" s="44">
        <v>2</v>
      </c>
      <c r="B387" s="44">
        <v>1990</v>
      </c>
      <c r="C387" s="44">
        <v>5</v>
      </c>
      <c r="D387" s="44">
        <v>50</v>
      </c>
      <c r="E387" s="44">
        <v>5</v>
      </c>
      <c r="F387" s="45">
        <v>4.9312893251815702E-3</v>
      </c>
      <c r="G387" s="45">
        <v>2.4372995349210363E-2</v>
      </c>
      <c r="H387" s="46">
        <v>91617.233125258994</v>
      </c>
      <c r="I387" s="46">
        <v>2232.9863968694699</v>
      </c>
      <c r="J387" s="46">
        <v>452819.99282961164</v>
      </c>
      <c r="K387" s="45">
        <v>0.97121191489993153</v>
      </c>
      <c r="L387" s="46">
        <v>3053070.3631626354</v>
      </c>
      <c r="M387" s="47">
        <v>33.324193047704036</v>
      </c>
      <c r="N387" s="48">
        <v>2.6416458228020452</v>
      </c>
      <c r="O387" s="45">
        <v>0.97562700465078966</v>
      </c>
    </row>
    <row r="388" spans="1:15">
      <c r="A388" s="44">
        <v>2</v>
      </c>
      <c r="B388" s="44">
        <v>1990</v>
      </c>
      <c r="C388" s="44">
        <v>5</v>
      </c>
      <c r="D388" s="44">
        <v>55</v>
      </c>
      <c r="E388" s="44">
        <v>5</v>
      </c>
      <c r="F388" s="45">
        <v>6.8916702855533517E-3</v>
      </c>
      <c r="G388" s="45">
        <v>3.3908072434610005E-2</v>
      </c>
      <c r="H388" s="46">
        <v>89384.246728389524</v>
      </c>
      <c r="I388" s="46">
        <v>3030.8475125792756</v>
      </c>
      <c r="J388" s="46">
        <v>439784.17234102037</v>
      </c>
      <c r="K388" s="45">
        <v>0.95787383043410324</v>
      </c>
      <c r="L388" s="46">
        <v>2600250.3703330238</v>
      </c>
      <c r="M388" s="47">
        <v>29.09070071636183</v>
      </c>
      <c r="N388" s="48">
        <v>2.6451928804384073</v>
      </c>
      <c r="O388" s="45">
        <v>0.96609192756538997</v>
      </c>
    </row>
    <row r="389" spans="1:15">
      <c r="A389" s="44">
        <v>2</v>
      </c>
      <c r="B389" s="44">
        <v>1990</v>
      </c>
      <c r="C389" s="44">
        <v>5</v>
      </c>
      <c r="D389" s="44">
        <v>60</v>
      </c>
      <c r="E389" s="44">
        <v>5</v>
      </c>
      <c r="F389" s="45">
        <v>1.0606245325063173E-2</v>
      </c>
      <c r="G389" s="45">
        <v>5.1740441942498341E-2</v>
      </c>
      <c r="H389" s="46">
        <v>86353.399215810248</v>
      </c>
      <c r="I389" s="46">
        <v>4467.9630386630161</v>
      </c>
      <c r="J389" s="46">
        <v>421257.74972458498</v>
      </c>
      <c r="K389" s="45">
        <v>0.93726285916238783</v>
      </c>
      <c r="L389" s="46">
        <v>2160466.1979920035</v>
      </c>
      <c r="M389" s="47">
        <v>25.018890021835396</v>
      </c>
      <c r="N389" s="48">
        <v>2.6478663177099593</v>
      </c>
      <c r="O389" s="45">
        <v>0.94825955805750162</v>
      </c>
    </row>
    <row r="390" spans="1:15">
      <c r="A390" s="44">
        <v>2</v>
      </c>
      <c r="B390" s="44">
        <v>1990</v>
      </c>
      <c r="C390" s="44">
        <v>5</v>
      </c>
      <c r="D390" s="44">
        <v>65</v>
      </c>
      <c r="E390" s="44">
        <v>5</v>
      </c>
      <c r="F390" s="45">
        <v>1.5582278198864874E-2</v>
      </c>
      <c r="G390" s="45">
        <v>7.5133496161671226E-2</v>
      </c>
      <c r="H390" s="46">
        <v>81885.436177147232</v>
      </c>
      <c r="I390" s="46">
        <v>6152.3391047124751</v>
      </c>
      <c r="J390" s="46">
        <v>394829.24295117811</v>
      </c>
      <c r="K390" s="45">
        <v>0.90964522098731482</v>
      </c>
      <c r="L390" s="46">
        <v>1739208.4482674184</v>
      </c>
      <c r="M390" s="47">
        <v>21.239533297531615</v>
      </c>
      <c r="N390" s="48">
        <v>2.627254010856364</v>
      </c>
      <c r="O390" s="45">
        <v>0.9248665038383288</v>
      </c>
    </row>
    <row r="391" spans="1:15">
      <c r="A391" s="44">
        <v>2</v>
      </c>
      <c r="B391" s="44">
        <v>1990</v>
      </c>
      <c r="C391" s="44">
        <v>5</v>
      </c>
      <c r="D391" s="44">
        <v>70</v>
      </c>
      <c r="E391" s="44">
        <v>5</v>
      </c>
      <c r="F391" s="45">
        <v>2.2830218776050484E-2</v>
      </c>
      <c r="G391" s="45">
        <v>0.10826939477724878</v>
      </c>
      <c r="H391" s="46">
        <v>75733.097072434757</v>
      </c>
      <c r="I391" s="46">
        <v>8199.5765846391441</v>
      </c>
      <c r="J391" s="46">
        <v>359154.53395657864</v>
      </c>
      <c r="K391" s="45">
        <v>0.86695296458523274</v>
      </c>
      <c r="L391" s="46">
        <v>1344379.2053162402</v>
      </c>
      <c r="M391" s="47">
        <v>17.751541364146401</v>
      </c>
      <c r="N391" s="48">
        <v>2.6204928139647587</v>
      </c>
      <c r="O391" s="45">
        <v>0.89173060522275116</v>
      </c>
    </row>
    <row r="392" spans="1:15">
      <c r="A392" s="44">
        <v>2</v>
      </c>
      <c r="B392" s="44">
        <v>1990</v>
      </c>
      <c r="C392" s="44">
        <v>5</v>
      </c>
      <c r="D392" s="44">
        <v>75</v>
      </c>
      <c r="E392" s="44">
        <v>5</v>
      </c>
      <c r="F392" s="45">
        <v>3.4910999462641611E-2</v>
      </c>
      <c r="G392" s="45">
        <v>0.16096067397145047</v>
      </c>
      <c r="H392" s="46">
        <v>67533.520487795613</v>
      </c>
      <c r="I392" s="46">
        <v>10870.240973380336</v>
      </c>
      <c r="J392" s="46">
        <v>311370.08795788349</v>
      </c>
      <c r="K392" s="45">
        <v>0.81421399566884833</v>
      </c>
      <c r="L392" s="46">
        <v>985224.67135966162</v>
      </c>
      <c r="M392" s="47">
        <v>14.588676323155809</v>
      </c>
      <c r="N392" s="48">
        <v>2.5807790696182864</v>
      </c>
      <c r="O392" s="45">
        <v>0.83903932602854958</v>
      </c>
    </row>
    <row r="393" spans="1:15">
      <c r="A393" s="44">
        <v>2</v>
      </c>
      <c r="B393" s="44">
        <v>1990</v>
      </c>
      <c r="C393" s="44">
        <v>5</v>
      </c>
      <c r="D393" s="44">
        <v>80</v>
      </c>
      <c r="E393" s="44">
        <v>5</v>
      </c>
      <c r="F393" s="45">
        <v>4.7700151410892365E-2</v>
      </c>
      <c r="G393" s="45">
        <v>0.21341920781985943</v>
      </c>
      <c r="H393" s="46">
        <v>56663.279514415277</v>
      </c>
      <c r="I393" s="46">
        <v>12093.032226441777</v>
      </c>
      <c r="J393" s="46">
        <v>253521.88344794908</v>
      </c>
      <c r="K393" s="45">
        <v>0.75357121904642643</v>
      </c>
      <c r="L393" s="46">
        <v>673854.58340177813</v>
      </c>
      <c r="M393" s="47">
        <v>11.892262311261879</v>
      </c>
      <c r="N393" s="48">
        <v>2.5362246981380978</v>
      </c>
      <c r="O393" s="45">
        <v>0.78658079218014054</v>
      </c>
    </row>
    <row r="394" spans="1:15">
      <c r="A394" s="44">
        <v>2</v>
      </c>
      <c r="B394" s="44">
        <v>1990</v>
      </c>
      <c r="C394" s="44">
        <v>5</v>
      </c>
      <c r="D394" s="44">
        <v>85</v>
      </c>
      <c r="E394" s="44">
        <v>5</v>
      </c>
      <c r="F394" s="45">
        <v>6.6932323746936639E-2</v>
      </c>
      <c r="G394" s="45">
        <v>0.28690004422442811</v>
      </c>
      <c r="H394" s="46">
        <v>44570.2472879735</v>
      </c>
      <c r="I394" s="46">
        <v>12787.205918013296</v>
      </c>
      <c r="J394" s="46">
        <v>191046.79476481702</v>
      </c>
      <c r="K394" s="45">
        <v>0.66502581578547182</v>
      </c>
      <c r="L394" s="46">
        <v>420332.69995382905</v>
      </c>
      <c r="M394" s="47">
        <v>9.430791290836039</v>
      </c>
      <c r="N394" s="48">
        <v>2.5127919360203896</v>
      </c>
      <c r="O394" s="45">
        <v>0.71309995577557195</v>
      </c>
    </row>
    <row r="395" spans="1:15">
      <c r="A395" s="44">
        <v>2</v>
      </c>
      <c r="B395" s="44">
        <v>1990</v>
      </c>
      <c r="C395" s="44">
        <v>5</v>
      </c>
      <c r="D395" s="44">
        <v>90</v>
      </c>
      <c r="E395" s="44">
        <v>5</v>
      </c>
      <c r="F395" s="45">
        <v>9.9053400379936651E-2</v>
      </c>
      <c r="G395" s="45">
        <v>0.39596080285414065</v>
      </c>
      <c r="H395" s="46">
        <v>31783.041369960203</v>
      </c>
      <c r="I395" s="46">
        <v>12584.838577995808</v>
      </c>
      <c r="J395" s="46">
        <v>127051.05054167204</v>
      </c>
      <c r="K395" s="45">
        <v>0.53739562892945714</v>
      </c>
      <c r="L395" s="46">
        <v>229285.90518901206</v>
      </c>
      <c r="M395" s="47">
        <v>7.2140957978213516</v>
      </c>
      <c r="N395" s="48">
        <v>2.4680520444781515</v>
      </c>
      <c r="O395" s="45">
        <v>0.60403919714585941</v>
      </c>
    </row>
    <row r="396" spans="1:15">
      <c r="A396" s="44">
        <v>2</v>
      </c>
      <c r="B396" s="44">
        <v>1990</v>
      </c>
      <c r="C396" s="44">
        <v>5</v>
      </c>
      <c r="D396" s="44">
        <v>95</v>
      </c>
      <c r="E396" s="44">
        <v>5</v>
      </c>
      <c r="F396" s="45">
        <v>0.15460381815925259</v>
      </c>
      <c r="G396" s="45">
        <v>0.54983455544215798</v>
      </c>
      <c r="H396" s="46">
        <v>19198.202791964395</v>
      </c>
      <c r="I396" s="46">
        <v>10555.835297408141</v>
      </c>
      <c r="J396" s="46">
        <v>68276.679211990093</v>
      </c>
      <c r="K396" s="45">
        <v>0.33215849479601589</v>
      </c>
      <c r="L396" s="46">
        <v>102234.85464734002</v>
      </c>
      <c r="M396" s="47">
        <v>5.3252304788722968</v>
      </c>
      <c r="N396" s="48">
        <v>2.3745010255477554</v>
      </c>
      <c r="O396" s="45">
        <v>0.45016544455784202</v>
      </c>
    </row>
    <row r="397" spans="1:15">
      <c r="A397" s="44">
        <v>2</v>
      </c>
      <c r="B397" s="44">
        <v>1990</v>
      </c>
      <c r="C397" s="44">
        <v>5</v>
      </c>
      <c r="D397" s="44">
        <v>100</v>
      </c>
      <c r="E397" s="44">
        <v>0</v>
      </c>
      <c r="F397" s="45">
        <v>0.25450034884853334</v>
      </c>
      <c r="G397" s="45">
        <v>1</v>
      </c>
      <c r="H397" s="46">
        <v>8642.3674945562543</v>
      </c>
      <c r="I397" s="46">
        <v>8642.3674945562543</v>
      </c>
      <c r="J397" s="46">
        <v>33958.175435349935</v>
      </c>
      <c r="K397" s="45">
        <v>0</v>
      </c>
      <c r="L397" s="46">
        <v>33958.175435349935</v>
      </c>
      <c r="M397" s="47">
        <v>3.9292676985490225</v>
      </c>
      <c r="N397" s="48">
        <v>3.9292676985490225</v>
      </c>
      <c r="O397" s="45">
        <v>0</v>
      </c>
    </row>
    <row r="398" spans="1:15">
      <c r="A398" s="39">
        <v>1</v>
      </c>
      <c r="B398" s="39">
        <v>1995</v>
      </c>
      <c r="C398" s="39">
        <v>5</v>
      </c>
      <c r="D398" s="39">
        <v>0</v>
      </c>
      <c r="E398" s="39">
        <v>1</v>
      </c>
      <c r="F398" s="40">
        <v>2.2576873779108442E-2</v>
      </c>
      <c r="G398" s="40">
        <v>2.21300061330045E-2</v>
      </c>
      <c r="H398" s="41">
        <v>100000</v>
      </c>
      <c r="I398" s="41">
        <v>2213.0006133004499</v>
      </c>
      <c r="J398" s="41">
        <v>98020.684128032604</v>
      </c>
      <c r="K398" s="40">
        <v>0.97635506058532895</v>
      </c>
      <c r="L398" s="41">
        <v>7277761.4937302805</v>
      </c>
      <c r="M398" s="42">
        <v>72.777614937302801</v>
      </c>
      <c r="N398" s="43">
        <v>0.10559632922312706</v>
      </c>
      <c r="O398" s="40">
        <v>0.97786999386699547</v>
      </c>
    </row>
    <row r="399" spans="1:15">
      <c r="A399" s="39">
        <v>1</v>
      </c>
      <c r="B399" s="39">
        <v>1995</v>
      </c>
      <c r="C399" s="39">
        <v>5</v>
      </c>
      <c r="D399" s="39">
        <v>1</v>
      </c>
      <c r="E399" s="39">
        <v>4</v>
      </c>
      <c r="F399" s="40">
        <v>1.0529789030458746E-3</v>
      </c>
      <c r="G399" s="40">
        <v>4.2012428080102429E-3</v>
      </c>
      <c r="H399" s="41">
        <v>97786.99938669955</v>
      </c>
      <c r="I399" s="41">
        <v>410.82692789027351</v>
      </c>
      <c r="J399" s="41">
        <v>390156.84616463189</v>
      </c>
      <c r="K399" s="40">
        <v>0.99626845013580412</v>
      </c>
      <c r="L399" s="41">
        <v>7179740.8096022476</v>
      </c>
      <c r="M399" s="42">
        <v>73.422242779021161</v>
      </c>
      <c r="N399" s="43">
        <v>1.5874235234380307</v>
      </c>
      <c r="O399" s="40">
        <v>0.99579875719198974</v>
      </c>
    </row>
    <row r="400" spans="1:15">
      <c r="A400" s="39">
        <v>1</v>
      </c>
      <c r="B400" s="39">
        <v>1995</v>
      </c>
      <c r="C400" s="39">
        <v>5</v>
      </c>
      <c r="D400" s="39">
        <v>5</v>
      </c>
      <c r="E400" s="39">
        <v>5</v>
      </c>
      <c r="F400" s="40">
        <v>4.3177502649190147E-4</v>
      </c>
      <c r="G400" s="40">
        <v>2.1565472743182578E-3</v>
      </c>
      <c r="H400" s="41">
        <v>97376.172458809277</v>
      </c>
      <c r="I400" s="41">
        <v>209.99631929959287</v>
      </c>
      <c r="J400" s="41">
        <v>486355.87149579742</v>
      </c>
      <c r="K400" s="40">
        <v>0.99766278597189151</v>
      </c>
      <c r="L400" s="41">
        <v>6789583.9634376159</v>
      </c>
      <c r="M400" s="42">
        <v>69.725311562329608</v>
      </c>
      <c r="N400" s="43">
        <v>2.5</v>
      </c>
      <c r="O400" s="40">
        <v>0.99784345272568176</v>
      </c>
    </row>
    <row r="401" spans="1:15">
      <c r="A401" s="39">
        <v>1</v>
      </c>
      <c r="B401" s="39">
        <v>1995</v>
      </c>
      <c r="C401" s="39">
        <v>5</v>
      </c>
      <c r="D401" s="39">
        <v>10</v>
      </c>
      <c r="E401" s="39">
        <v>5</v>
      </c>
      <c r="F401" s="40">
        <v>5.04289216582723E-4</v>
      </c>
      <c r="G401" s="40">
        <v>2.518271240336285E-3</v>
      </c>
      <c r="H401" s="41">
        <v>97166.176139509684</v>
      </c>
      <c r="I401" s="41">
        <v>244.69078690557217</v>
      </c>
      <c r="J401" s="41">
        <v>485219.15373028448</v>
      </c>
      <c r="K401" s="40">
        <v>0.99535068964324858</v>
      </c>
      <c r="L401" s="41">
        <v>6303228.0919418186</v>
      </c>
      <c r="M401" s="42">
        <v>64.870599444931756</v>
      </c>
      <c r="N401" s="43">
        <v>2.5</v>
      </c>
      <c r="O401" s="40">
        <v>0.99748172875966368</v>
      </c>
    </row>
    <row r="402" spans="1:15">
      <c r="A402" s="39">
        <v>1</v>
      </c>
      <c r="B402" s="39">
        <v>1995</v>
      </c>
      <c r="C402" s="39">
        <v>5</v>
      </c>
      <c r="D402" s="39">
        <v>15</v>
      </c>
      <c r="E402" s="39">
        <v>5</v>
      </c>
      <c r="F402" s="40">
        <v>1.5624291057129188E-3</v>
      </c>
      <c r="G402" s="40">
        <v>7.78563997515936E-3</v>
      </c>
      <c r="H402" s="41">
        <v>96921.485352604112</v>
      </c>
      <c r="I402" s="41">
        <v>754.59579081306583</v>
      </c>
      <c r="J402" s="41">
        <v>482963.2192935521</v>
      </c>
      <c r="K402" s="40">
        <v>0.98992637388347138</v>
      </c>
      <c r="L402" s="41">
        <v>5818008.9382115342</v>
      </c>
      <c r="M402" s="42">
        <v>60.028062065344876</v>
      </c>
      <c r="N402" s="43">
        <v>2.8210752173731772</v>
      </c>
      <c r="O402" s="40">
        <v>0.99221436002484065</v>
      </c>
    </row>
    <row r="403" spans="1:15">
      <c r="A403" s="39">
        <v>1</v>
      </c>
      <c r="B403" s="39">
        <v>1995</v>
      </c>
      <c r="C403" s="39">
        <v>5</v>
      </c>
      <c r="D403" s="39">
        <v>20</v>
      </c>
      <c r="E403" s="39">
        <v>5</v>
      </c>
      <c r="F403" s="40">
        <v>2.3921199983851071E-3</v>
      </c>
      <c r="G403" s="40">
        <v>1.1892532451886909E-2</v>
      </c>
      <c r="H403" s="41">
        <v>96166.889561791046</v>
      </c>
      <c r="I403" s="41">
        <v>1143.6678549106291</v>
      </c>
      <c r="J403" s="41">
        <v>478098.02839435381</v>
      </c>
      <c r="K403" s="40">
        <v>0.98727320246325734</v>
      </c>
      <c r="L403" s="41">
        <v>5335045.7189179817</v>
      </c>
      <c r="M403" s="42">
        <v>55.476949948453964</v>
      </c>
      <c r="N403" s="43">
        <v>2.6073303076134078</v>
      </c>
      <c r="O403" s="40">
        <v>0.98810746754811307</v>
      </c>
    </row>
    <row r="404" spans="1:15">
      <c r="A404" s="39">
        <v>1</v>
      </c>
      <c r="B404" s="39">
        <v>1995</v>
      </c>
      <c r="C404" s="39">
        <v>5</v>
      </c>
      <c r="D404" s="39">
        <v>25</v>
      </c>
      <c r="E404" s="39">
        <v>5</v>
      </c>
      <c r="F404" s="40">
        <v>2.6787450121129163E-3</v>
      </c>
      <c r="G404" s="40">
        <v>1.3306257587037722E-2</v>
      </c>
      <c r="H404" s="41">
        <v>95023.221706880417</v>
      </c>
      <c r="I404" s="41">
        <v>1264.4034647819499</v>
      </c>
      <c r="J404" s="41">
        <v>472013.37158426305</v>
      </c>
      <c r="K404" s="40">
        <v>0.98579446378238422</v>
      </c>
      <c r="L404" s="41">
        <v>4856947.6905236281</v>
      </c>
      <c r="M404" s="42">
        <v>51.113271085524012</v>
      </c>
      <c r="N404" s="43">
        <v>2.5460863272198373</v>
      </c>
      <c r="O404" s="40">
        <v>0.98669374241296226</v>
      </c>
    </row>
    <row r="405" spans="1:15">
      <c r="A405" s="39">
        <v>1</v>
      </c>
      <c r="B405" s="39">
        <v>1995</v>
      </c>
      <c r="C405" s="39">
        <v>5</v>
      </c>
      <c r="D405" s="39">
        <v>30</v>
      </c>
      <c r="E405" s="39">
        <v>5</v>
      </c>
      <c r="F405" s="40">
        <v>3.0654115123542407E-3</v>
      </c>
      <c r="G405" s="40">
        <v>1.5213086548818545E-2</v>
      </c>
      <c r="H405" s="41">
        <v>93758.818242098467</v>
      </c>
      <c r="I405" s="41">
        <v>1426.361016631985</v>
      </c>
      <c r="J405" s="41">
        <v>465308.16853902384</v>
      </c>
      <c r="K405" s="40">
        <v>0.98356292713788884</v>
      </c>
      <c r="L405" s="41">
        <v>4384934.3189393654</v>
      </c>
      <c r="M405" s="42">
        <v>46.768233656879588</v>
      </c>
      <c r="N405" s="43">
        <v>2.5560726696669827</v>
      </c>
      <c r="O405" s="40">
        <v>0.98478691345118141</v>
      </c>
    </row>
    <row r="406" spans="1:15">
      <c r="A406" s="39">
        <v>1</v>
      </c>
      <c r="B406" s="39">
        <v>1995</v>
      </c>
      <c r="C406" s="39">
        <v>5</v>
      </c>
      <c r="D406" s="39">
        <v>35</v>
      </c>
      <c r="E406" s="39">
        <v>5</v>
      </c>
      <c r="F406" s="40">
        <v>3.6152150255025655E-3</v>
      </c>
      <c r="G406" s="40">
        <v>1.7919363001853497E-2</v>
      </c>
      <c r="H406" s="41">
        <v>92332.457225466482</v>
      </c>
      <c r="I406" s="41">
        <v>1654.5388178762514</v>
      </c>
      <c r="J406" s="41">
        <v>457659.86426941241</v>
      </c>
      <c r="K406" s="40">
        <v>0.97963562371602497</v>
      </c>
      <c r="L406" s="41">
        <v>3919626.150400342</v>
      </c>
      <c r="M406" s="42">
        <v>42.451227533444857</v>
      </c>
      <c r="N406" s="43">
        <v>2.5809441188829552</v>
      </c>
      <c r="O406" s="40">
        <v>0.98208063699814652</v>
      </c>
    </row>
    <row r="407" spans="1:15">
      <c r="A407" s="39">
        <v>1</v>
      </c>
      <c r="B407" s="39">
        <v>1995</v>
      </c>
      <c r="C407" s="39">
        <v>5</v>
      </c>
      <c r="D407" s="39">
        <v>40</v>
      </c>
      <c r="E407" s="39">
        <v>5</v>
      </c>
      <c r="F407" s="40">
        <v>4.6873422764914163E-3</v>
      </c>
      <c r="G407" s="40">
        <v>2.3175681966145282E-2</v>
      </c>
      <c r="H407" s="41">
        <v>90677.91840759023</v>
      </c>
      <c r="I407" s="41">
        <v>2101.522598366384</v>
      </c>
      <c r="J407" s="41">
        <v>448339.90658335714</v>
      </c>
      <c r="K407" s="40">
        <v>0.97377102429012408</v>
      </c>
      <c r="L407" s="41">
        <v>3461966.2861309294</v>
      </c>
      <c r="M407" s="42">
        <v>38.178713703700815</v>
      </c>
      <c r="N407" s="43">
        <v>2.5971300720157058</v>
      </c>
      <c r="O407" s="40">
        <v>0.97682431803385472</v>
      </c>
    </row>
    <row r="408" spans="1:15">
      <c r="A408" s="39">
        <v>1</v>
      </c>
      <c r="B408" s="39">
        <v>1995</v>
      </c>
      <c r="C408" s="39">
        <v>5</v>
      </c>
      <c r="D408" s="39">
        <v>45</v>
      </c>
      <c r="E408" s="39">
        <v>5</v>
      </c>
      <c r="F408" s="40">
        <v>6.0390644269509818E-3</v>
      </c>
      <c r="G408" s="40">
        <v>2.9765686443131371E-2</v>
      </c>
      <c r="H408" s="41">
        <v>88576.395809223846</v>
      </c>
      <c r="I408" s="41">
        <v>2636.5372239200515</v>
      </c>
      <c r="J408" s="41">
        <v>436580.4100638142</v>
      </c>
      <c r="K408" s="40">
        <v>0.96482153246110947</v>
      </c>
      <c r="L408" s="41">
        <v>3013626.3795475722</v>
      </c>
      <c r="M408" s="42">
        <v>34.022905899652223</v>
      </c>
      <c r="N408" s="43">
        <v>2.6099070685845542</v>
      </c>
      <c r="O408" s="40">
        <v>0.97023431355686862</v>
      </c>
    </row>
    <row r="409" spans="1:15">
      <c r="A409" s="39">
        <v>1</v>
      </c>
      <c r="B409" s="39">
        <v>1995</v>
      </c>
      <c r="C409" s="39">
        <v>5</v>
      </c>
      <c r="D409" s="39">
        <v>50</v>
      </c>
      <c r="E409" s="39">
        <v>5</v>
      </c>
      <c r="F409" s="40">
        <v>8.4385485116377744E-3</v>
      </c>
      <c r="G409" s="40">
        <v>4.1360363642496394E-2</v>
      </c>
      <c r="H409" s="41">
        <v>85939.858585303795</v>
      </c>
      <c r="I409" s="41">
        <v>3554.5038024728856</v>
      </c>
      <c r="J409" s="41">
        <v>421222.18028026877</v>
      </c>
      <c r="K409" s="40">
        <v>0.95201918254263296</v>
      </c>
      <c r="L409" s="41">
        <v>2577045.9694837579</v>
      </c>
      <c r="M409" s="42">
        <v>29.986621015041411</v>
      </c>
      <c r="N409" s="43">
        <v>2.6151066035285688</v>
      </c>
      <c r="O409" s="40">
        <v>0.9586396363575036</v>
      </c>
    </row>
    <row r="410" spans="1:15">
      <c r="A410" s="39">
        <v>1</v>
      </c>
      <c r="B410" s="39">
        <v>1995</v>
      </c>
      <c r="C410" s="39">
        <v>5</v>
      </c>
      <c r="D410" s="39">
        <v>55</v>
      </c>
      <c r="E410" s="39">
        <v>5</v>
      </c>
      <c r="F410" s="40">
        <v>1.141748880772013E-2</v>
      </c>
      <c r="G410" s="40">
        <v>5.5574748912448825E-2</v>
      </c>
      <c r="H410" s="41">
        <v>82385.354782830909</v>
      </c>
      <c r="I410" s="41">
        <v>4578.5454061188357</v>
      </c>
      <c r="J410" s="41">
        <v>401011.59573924704</v>
      </c>
      <c r="K410" s="40">
        <v>0.93328843871478195</v>
      </c>
      <c r="L410" s="41">
        <v>2155823.7892034892</v>
      </c>
      <c r="M410" s="42">
        <v>26.167560907958393</v>
      </c>
      <c r="N410" s="43">
        <v>2.6160161783433908</v>
      </c>
      <c r="O410" s="40">
        <v>0.94442525108755115</v>
      </c>
    </row>
    <row r="411" spans="1:15">
      <c r="A411" s="39">
        <v>1</v>
      </c>
      <c r="B411" s="39">
        <v>1995</v>
      </c>
      <c r="C411" s="39">
        <v>5</v>
      </c>
      <c r="D411" s="39">
        <v>60</v>
      </c>
      <c r="E411" s="39">
        <v>5</v>
      </c>
      <c r="F411" s="40">
        <v>1.6508292999115659E-2</v>
      </c>
      <c r="G411" s="40">
        <v>7.9406742207160957E-2</v>
      </c>
      <c r="H411" s="41">
        <v>77806.809376712074</v>
      </c>
      <c r="I411" s="41">
        <v>6178.3852541382803</v>
      </c>
      <c r="J411" s="41">
        <v>374259.48609400517</v>
      </c>
      <c r="K411" s="40">
        <v>0.90731866624705437</v>
      </c>
      <c r="L411" s="41">
        <v>1754812.1934642419</v>
      </c>
      <c r="M411" s="42">
        <v>22.553452680061511</v>
      </c>
      <c r="N411" s="43">
        <v>2.6086695500803829</v>
      </c>
      <c r="O411" s="40">
        <v>0.92059325779283907</v>
      </c>
    </row>
    <row r="412" spans="1:15">
      <c r="A412" s="39">
        <v>1</v>
      </c>
      <c r="B412" s="39">
        <v>1995</v>
      </c>
      <c r="C412" s="39">
        <v>5</v>
      </c>
      <c r="D412" s="39">
        <v>65</v>
      </c>
      <c r="E412" s="39">
        <v>5</v>
      </c>
      <c r="F412" s="40">
        <v>2.2688156680004894E-2</v>
      </c>
      <c r="G412" s="40">
        <v>0.10755893139067682</v>
      </c>
      <c r="H412" s="41">
        <v>71628.424122573793</v>
      </c>
      <c r="I412" s="41">
        <v>7704.2767558222185</v>
      </c>
      <c r="J412" s="41">
        <v>339572.61775312078</v>
      </c>
      <c r="K412" s="40">
        <v>0.87345969738645279</v>
      </c>
      <c r="L412" s="41">
        <v>1380552.7073702367</v>
      </c>
      <c r="M412" s="42">
        <v>19.273810980509253</v>
      </c>
      <c r="N412" s="43">
        <v>2.5897149793178178</v>
      </c>
      <c r="O412" s="40">
        <v>0.89244106860932315</v>
      </c>
    </row>
    <row r="413" spans="1:15">
      <c r="A413" s="39">
        <v>1</v>
      </c>
      <c r="B413" s="39">
        <v>1995</v>
      </c>
      <c r="C413" s="39">
        <v>5</v>
      </c>
      <c r="D413" s="39">
        <v>70</v>
      </c>
      <c r="E413" s="39">
        <v>5</v>
      </c>
      <c r="F413" s="40">
        <v>3.186079726483812E-2</v>
      </c>
      <c r="G413" s="40">
        <v>0.14783158338706867</v>
      </c>
      <c r="H413" s="41">
        <v>63924.147366751575</v>
      </c>
      <c r="I413" s="41">
        <v>9450.0079218952014</v>
      </c>
      <c r="J413" s="41">
        <v>296602.99594336649</v>
      </c>
      <c r="K413" s="40">
        <v>0.83093340658751536</v>
      </c>
      <c r="L413" s="41">
        <v>1040980.0896171159</v>
      </c>
      <c r="M413" s="42">
        <v>16.284614382804481</v>
      </c>
      <c r="N413" s="43">
        <v>2.5642622651076894</v>
      </c>
      <c r="O413" s="40">
        <v>0.8521684166129313</v>
      </c>
    </row>
    <row r="414" spans="1:15">
      <c r="A414" s="39">
        <v>1</v>
      </c>
      <c r="B414" s="39">
        <v>1995</v>
      </c>
      <c r="C414" s="39">
        <v>5</v>
      </c>
      <c r="D414" s="39">
        <v>75</v>
      </c>
      <c r="E414" s="39">
        <v>5</v>
      </c>
      <c r="F414" s="40">
        <v>4.2474755080796081E-2</v>
      </c>
      <c r="G414" s="40">
        <v>0.19216852562684172</v>
      </c>
      <c r="H414" s="41">
        <v>54474.139444856373</v>
      </c>
      <c r="I414" s="41">
        <v>10468.215061909032</v>
      </c>
      <c r="J414" s="41">
        <v>246457.33782328453</v>
      </c>
      <c r="K414" s="40">
        <v>0.7851160370301915</v>
      </c>
      <c r="L414" s="41">
        <v>744377.09367374936</v>
      </c>
      <c r="M414" s="42">
        <v>13.664779311057769</v>
      </c>
      <c r="N414" s="43">
        <v>2.5245675363234605</v>
      </c>
      <c r="O414" s="40">
        <v>0.80783147437315828</v>
      </c>
    </row>
    <row r="415" spans="1:15">
      <c r="A415" s="39">
        <v>1</v>
      </c>
      <c r="B415" s="39">
        <v>1995</v>
      </c>
      <c r="C415" s="39">
        <v>5</v>
      </c>
      <c r="D415" s="39">
        <v>80</v>
      </c>
      <c r="E415" s="39">
        <v>5</v>
      </c>
      <c r="F415" s="40">
        <v>5.481961420346719E-2</v>
      </c>
      <c r="G415" s="40">
        <v>0.241046277036808</v>
      </c>
      <c r="H415" s="41">
        <v>44005.924382947342</v>
      </c>
      <c r="I415" s="41">
        <v>10607.464240072746</v>
      </c>
      <c r="J415" s="41">
        <v>193497.60836882828</v>
      </c>
      <c r="K415" s="40">
        <v>0.72888951487653575</v>
      </c>
      <c r="L415" s="41">
        <v>497919.7558504648</v>
      </c>
      <c r="M415" s="42">
        <v>11.314834600847808</v>
      </c>
      <c r="N415" s="43">
        <v>2.4987411745706267</v>
      </c>
      <c r="O415" s="40">
        <v>0.75895372296319197</v>
      </c>
    </row>
    <row r="416" spans="1:15">
      <c r="A416" s="39">
        <v>1</v>
      </c>
      <c r="B416" s="39">
        <v>1995</v>
      </c>
      <c r="C416" s="39">
        <v>5</v>
      </c>
      <c r="D416" s="39">
        <v>85</v>
      </c>
      <c r="E416" s="39">
        <v>5</v>
      </c>
      <c r="F416" s="40">
        <v>7.304412286146883E-2</v>
      </c>
      <c r="G416" s="40">
        <v>0.30845807138954034</v>
      </c>
      <c r="H416" s="41">
        <v>33398.460142874595</v>
      </c>
      <c r="I416" s="41">
        <v>10302.024603051534</v>
      </c>
      <c r="J416" s="41">
        <v>141038.37789372515</v>
      </c>
      <c r="K416" s="40">
        <v>0.64716224440593517</v>
      </c>
      <c r="L416" s="41">
        <v>304422.14748163649</v>
      </c>
      <c r="M416" s="42">
        <v>9.1148557801573826</v>
      </c>
      <c r="N416" s="43">
        <v>2.4806968706947088</v>
      </c>
      <c r="O416" s="40">
        <v>0.6915419286104596</v>
      </c>
    </row>
    <row r="417" spans="1:15">
      <c r="A417" s="39">
        <v>1</v>
      </c>
      <c r="B417" s="39">
        <v>1995</v>
      </c>
      <c r="C417" s="39">
        <v>5</v>
      </c>
      <c r="D417" s="39">
        <v>90</v>
      </c>
      <c r="E417" s="39">
        <v>5</v>
      </c>
      <c r="F417" s="40">
        <v>0.10373444926610051</v>
      </c>
      <c r="G417" s="40">
        <v>0.40994776392442561</v>
      </c>
      <c r="H417" s="41">
        <v>23096.435539823062</v>
      </c>
      <c r="I417" s="41">
        <v>9468.3321041750969</v>
      </c>
      <c r="J417" s="41">
        <v>91274.713185075598</v>
      </c>
      <c r="K417" s="40">
        <v>0.52770313147138892</v>
      </c>
      <c r="L417" s="41">
        <v>163383.76958791132</v>
      </c>
      <c r="M417" s="42">
        <v>7.0739820136403164</v>
      </c>
      <c r="N417" s="43">
        <v>2.4433232540116179</v>
      </c>
      <c r="O417" s="40">
        <v>0.59005223607557444</v>
      </c>
    </row>
    <row r="418" spans="1:15">
      <c r="A418" s="39">
        <v>1</v>
      </c>
      <c r="B418" s="39">
        <v>1995</v>
      </c>
      <c r="C418" s="39">
        <v>5</v>
      </c>
      <c r="D418" s="39">
        <v>95</v>
      </c>
      <c r="E418" s="39">
        <v>5</v>
      </c>
      <c r="F418" s="40">
        <v>0.15701789711824116</v>
      </c>
      <c r="G418" s="40">
        <v>0.55495003593425996</v>
      </c>
      <c r="H418" s="41">
        <v>13628.103435647965</v>
      </c>
      <c r="I418" s="41">
        <v>7562.9164913286495</v>
      </c>
      <c r="J418" s="41">
        <v>48165.951971917268</v>
      </c>
      <c r="K418" s="40">
        <v>0.33204018503807364</v>
      </c>
      <c r="L418" s="41">
        <v>72109.056402835733</v>
      </c>
      <c r="M418" s="42">
        <v>5.2912026052146865</v>
      </c>
      <c r="N418" s="43">
        <v>2.3588806343128836</v>
      </c>
      <c r="O418" s="40">
        <v>0.44504996406574004</v>
      </c>
    </row>
    <row r="419" spans="1:15">
      <c r="A419" s="39">
        <v>1</v>
      </c>
      <c r="B419" s="39">
        <v>1995</v>
      </c>
      <c r="C419" s="39">
        <v>5</v>
      </c>
      <c r="D419" s="39">
        <v>100</v>
      </c>
      <c r="E419" s="39">
        <v>0</v>
      </c>
      <c r="F419" s="40">
        <v>0.25331664746394178</v>
      </c>
      <c r="G419" s="40">
        <v>1</v>
      </c>
      <c r="H419" s="41">
        <v>6065.1869443193154</v>
      </c>
      <c r="I419" s="41">
        <v>6065.1869443193154</v>
      </c>
      <c r="J419" s="41">
        <v>23943.104430918465</v>
      </c>
      <c r="K419" s="40">
        <v>0</v>
      </c>
      <c r="L419" s="41">
        <v>23943.104430918465</v>
      </c>
      <c r="M419" s="42">
        <v>3.947628432680661</v>
      </c>
      <c r="N419" s="43">
        <v>3.947628432680661</v>
      </c>
      <c r="O419" s="40">
        <v>0</v>
      </c>
    </row>
    <row r="420" spans="1:15">
      <c r="A420" s="44">
        <v>2</v>
      </c>
      <c r="B420" s="44">
        <v>1995</v>
      </c>
      <c r="C420" s="44">
        <v>5</v>
      </c>
      <c r="D420" s="44">
        <v>0</v>
      </c>
      <c r="E420" s="44">
        <v>1</v>
      </c>
      <c r="F420" s="45">
        <v>1.9341877393366486E-2</v>
      </c>
      <c r="G420" s="45">
        <v>1.9013527933459409E-2</v>
      </c>
      <c r="H420" s="46">
        <v>100000</v>
      </c>
      <c r="I420" s="46">
        <v>1901.3527933459409</v>
      </c>
      <c r="J420" s="46">
        <v>98302.390956010597</v>
      </c>
      <c r="K420" s="45">
        <v>0.97946209537352757</v>
      </c>
      <c r="L420" s="46">
        <v>7947892.5644504772</v>
      </c>
      <c r="M420" s="47">
        <v>79.47892564450477</v>
      </c>
      <c r="N420" s="48">
        <v>0.10715725670142616</v>
      </c>
      <c r="O420" s="45">
        <v>0.98098647206654055</v>
      </c>
    </row>
    <row r="421" spans="1:15">
      <c r="A421" s="44">
        <v>2</v>
      </c>
      <c r="B421" s="44">
        <v>1995</v>
      </c>
      <c r="C421" s="44">
        <v>5</v>
      </c>
      <c r="D421" s="44">
        <v>1</v>
      </c>
      <c r="E421" s="44">
        <v>4</v>
      </c>
      <c r="F421" s="45">
        <v>9.8418585350144947E-4</v>
      </c>
      <c r="G421" s="45">
        <v>3.9270525902149267E-3</v>
      </c>
      <c r="H421" s="46">
        <v>98098.647206654059</v>
      </c>
      <c r="I421" s="46">
        <v>385.23854660947109</v>
      </c>
      <c r="J421" s="46">
        <v>391428.65673075314</v>
      </c>
      <c r="K421" s="45">
        <v>0.996821500141719</v>
      </c>
      <c r="L421" s="46">
        <v>7849590.1734944666</v>
      </c>
      <c r="M421" s="47">
        <v>80.017313153753932</v>
      </c>
      <c r="N421" s="48">
        <v>1.4926390301168697</v>
      </c>
      <c r="O421" s="45">
        <v>0.99607294740978503</v>
      </c>
    </row>
    <row r="422" spans="1:15">
      <c r="A422" s="44">
        <v>2</v>
      </c>
      <c r="B422" s="44">
        <v>1995</v>
      </c>
      <c r="C422" s="44">
        <v>5</v>
      </c>
      <c r="D422" s="44">
        <v>5</v>
      </c>
      <c r="E422" s="44">
        <v>5</v>
      </c>
      <c r="F422" s="45">
        <v>3.2169294323608065E-4</v>
      </c>
      <c r="G422" s="45">
        <v>1.6071721763111916E-3</v>
      </c>
      <c r="H422" s="46">
        <v>97713.408660044588</v>
      </c>
      <c r="I422" s="46">
        <v>157.04227165094926</v>
      </c>
      <c r="J422" s="46">
        <v>488174.43762109557</v>
      </c>
      <c r="K422" s="45">
        <v>0.99837458942050206</v>
      </c>
      <c r="L422" s="46">
        <v>7458161.5167637132</v>
      </c>
      <c r="M422" s="47">
        <v>76.326899440295406</v>
      </c>
      <c r="N422" s="48">
        <v>2.5</v>
      </c>
      <c r="O422" s="45">
        <v>0.99839282782368877</v>
      </c>
    </row>
    <row r="423" spans="1:15">
      <c r="A423" s="44">
        <v>2</v>
      </c>
      <c r="B423" s="44">
        <v>1995</v>
      </c>
      <c r="C423" s="44">
        <v>5</v>
      </c>
      <c r="D423" s="44">
        <v>10</v>
      </c>
      <c r="E423" s="44">
        <v>5</v>
      </c>
      <c r="F423" s="45">
        <v>3.2900605849130491E-4</v>
      </c>
      <c r="G423" s="45">
        <v>1.6436783421245997E-3</v>
      </c>
      <c r="H423" s="46">
        <v>97556.366388393639</v>
      </c>
      <c r="I423" s="46">
        <v>160.35128656896995</v>
      </c>
      <c r="J423" s="46">
        <v>487380.95372554578</v>
      </c>
      <c r="K423" s="45">
        <v>0.99794351013993954</v>
      </c>
      <c r="L423" s="46">
        <v>6969987.079142618</v>
      </c>
      <c r="M423" s="47">
        <v>71.445742980971076</v>
      </c>
      <c r="N423" s="48">
        <v>2.5</v>
      </c>
      <c r="O423" s="45">
        <v>0.99835632165787536</v>
      </c>
    </row>
    <row r="424" spans="1:15">
      <c r="A424" s="44">
        <v>2</v>
      </c>
      <c r="B424" s="44">
        <v>1995</v>
      </c>
      <c r="C424" s="44">
        <v>5</v>
      </c>
      <c r="D424" s="44">
        <v>15</v>
      </c>
      <c r="E424" s="44">
        <v>5</v>
      </c>
      <c r="F424" s="45">
        <v>5.2480733530932942E-4</v>
      </c>
      <c r="G424" s="45">
        <v>2.6207960161473581E-3</v>
      </c>
      <c r="H424" s="46">
        <v>97396.015101824669</v>
      </c>
      <c r="I424" s="46">
        <v>255.25508836749941</v>
      </c>
      <c r="J424" s="46">
        <v>486378.65973622259</v>
      </c>
      <c r="K424" s="45">
        <v>0.99703351440321497</v>
      </c>
      <c r="L424" s="46">
        <v>6482606.1254170723</v>
      </c>
      <c r="M424" s="47">
        <v>66.559254181392305</v>
      </c>
      <c r="N424" s="48">
        <v>2.643863725706193</v>
      </c>
      <c r="O424" s="45">
        <v>0.9973792039838526</v>
      </c>
    </row>
    <row r="425" spans="1:15">
      <c r="A425" s="44">
        <v>2</v>
      </c>
      <c r="B425" s="44">
        <v>1995</v>
      </c>
      <c r="C425" s="44">
        <v>5</v>
      </c>
      <c r="D425" s="44">
        <v>20</v>
      </c>
      <c r="E425" s="44">
        <v>5</v>
      </c>
      <c r="F425" s="45">
        <v>6.5975603464367351E-4</v>
      </c>
      <c r="G425" s="45">
        <v>3.2935642726064931E-3</v>
      </c>
      <c r="H425" s="46">
        <v>97140.760013457169</v>
      </c>
      <c r="I425" s="46">
        <v>319.93933659416507</v>
      </c>
      <c r="J425" s="46">
        <v>484935.82444753149</v>
      </c>
      <c r="K425" s="45">
        <v>0.99625714709382973</v>
      </c>
      <c r="L425" s="46">
        <v>5996227.4656808497</v>
      </c>
      <c r="M425" s="47">
        <v>61.727203543087128</v>
      </c>
      <c r="N425" s="48">
        <v>2.5996211409023546</v>
      </c>
      <c r="O425" s="45">
        <v>0.99670643572739348</v>
      </c>
    </row>
    <row r="426" spans="1:15">
      <c r="A426" s="44">
        <v>2</v>
      </c>
      <c r="B426" s="44">
        <v>1995</v>
      </c>
      <c r="C426" s="44">
        <v>5</v>
      </c>
      <c r="D426" s="44">
        <v>25</v>
      </c>
      <c r="E426" s="44">
        <v>5</v>
      </c>
      <c r="F426" s="45">
        <v>8.5219063478813716E-4</v>
      </c>
      <c r="G426" s="45">
        <v>4.2522982365881474E-3</v>
      </c>
      <c r="H426" s="46">
        <v>96820.820676863004</v>
      </c>
      <c r="I426" s="46">
        <v>411.71100502923946</v>
      </c>
      <c r="J426" s="46">
        <v>483120.78098769195</v>
      </c>
      <c r="K426" s="45">
        <v>0.99508333127699333</v>
      </c>
      <c r="L426" s="46">
        <v>5511291.6412333185</v>
      </c>
      <c r="M426" s="47">
        <v>56.92258754578328</v>
      </c>
      <c r="N426" s="48">
        <v>2.611619838645761</v>
      </c>
      <c r="O426" s="45">
        <v>0.99574770176341187</v>
      </c>
    </row>
    <row r="427" spans="1:15">
      <c r="A427" s="44">
        <v>2</v>
      </c>
      <c r="B427" s="44">
        <v>1995</v>
      </c>
      <c r="C427" s="44">
        <v>5</v>
      </c>
      <c r="D427" s="44">
        <v>30</v>
      </c>
      <c r="E427" s="44">
        <v>5</v>
      </c>
      <c r="F427" s="45">
        <v>1.1370213306643971E-3</v>
      </c>
      <c r="G427" s="45">
        <v>5.6697735036420512E-3</v>
      </c>
      <c r="H427" s="46">
        <v>96409.109671833765</v>
      </c>
      <c r="I427" s="46">
        <v>546.61781552708999</v>
      </c>
      <c r="J427" s="46">
        <v>480745.4361543752</v>
      </c>
      <c r="K427" s="45">
        <v>0.99339137361764385</v>
      </c>
      <c r="L427" s="46">
        <v>5028170.8602456264</v>
      </c>
      <c r="M427" s="47">
        <v>52.154520224914215</v>
      </c>
      <c r="N427" s="48">
        <v>2.6215334226895539</v>
      </c>
      <c r="O427" s="45">
        <v>0.99433022649635794</v>
      </c>
    </row>
    <row r="428" spans="1:15">
      <c r="A428" s="44">
        <v>2</v>
      </c>
      <c r="B428" s="44">
        <v>1995</v>
      </c>
      <c r="C428" s="44">
        <v>5</v>
      </c>
      <c r="D428" s="44">
        <v>35</v>
      </c>
      <c r="E428" s="44">
        <v>5</v>
      </c>
      <c r="F428" s="45">
        <v>1.5446318772180212E-3</v>
      </c>
      <c r="G428" s="45">
        <v>7.6950568705742963E-3</v>
      </c>
      <c r="H428" s="46">
        <v>95862.491856306675</v>
      </c>
      <c r="I428" s="46">
        <v>737.66732658924593</v>
      </c>
      <c r="J428" s="46">
        <v>477568.36918180808</v>
      </c>
      <c r="K428" s="45">
        <v>0.99075580459930901</v>
      </c>
      <c r="L428" s="46">
        <v>4547425.4240912516</v>
      </c>
      <c r="M428" s="47">
        <v>47.436962424340336</v>
      </c>
      <c r="N428" s="48">
        <v>2.6356684960015273</v>
      </c>
      <c r="O428" s="45">
        <v>0.99230494312942574</v>
      </c>
    </row>
    <row r="429" spans="1:15">
      <c r="A429" s="44">
        <v>2</v>
      </c>
      <c r="B429" s="44">
        <v>1995</v>
      </c>
      <c r="C429" s="44">
        <v>5</v>
      </c>
      <c r="D429" s="44">
        <v>40</v>
      </c>
      <c r="E429" s="44">
        <v>5</v>
      </c>
      <c r="F429" s="45">
        <v>2.2145895346420167E-3</v>
      </c>
      <c r="G429" s="45">
        <v>1.1015432522523386E-2</v>
      </c>
      <c r="H429" s="46">
        <v>95124.824529717429</v>
      </c>
      <c r="I429" s="46">
        <v>1047.8410858239658</v>
      </c>
      <c r="J429" s="46">
        <v>473153.6338599021</v>
      </c>
      <c r="K429" s="45">
        <v>0.9868807216632558</v>
      </c>
      <c r="L429" s="46">
        <v>4069857.0549094435</v>
      </c>
      <c r="M429" s="47">
        <v>42.784384360551449</v>
      </c>
      <c r="N429" s="48">
        <v>2.6423058590583839</v>
      </c>
      <c r="O429" s="45">
        <v>0.98898456747747665</v>
      </c>
    </row>
    <row r="430" spans="1:15">
      <c r="A430" s="44">
        <v>2</v>
      </c>
      <c r="B430" s="44">
        <v>1995</v>
      </c>
      <c r="C430" s="44">
        <v>5</v>
      </c>
      <c r="D430" s="44">
        <v>45</v>
      </c>
      <c r="E430" s="44">
        <v>5</v>
      </c>
      <c r="F430" s="45">
        <v>3.126767219580451E-3</v>
      </c>
      <c r="G430" s="45">
        <v>1.5519545981368376E-2</v>
      </c>
      <c r="H430" s="46">
        <v>94076.983443893463</v>
      </c>
      <c r="I430" s="46">
        <v>1460.0320703459438</v>
      </c>
      <c r="J430" s="46">
        <v>466946.19964125211</v>
      </c>
      <c r="K430" s="45">
        <v>0.98114385235043411</v>
      </c>
      <c r="L430" s="46">
        <v>3596703.4210495413</v>
      </c>
      <c r="M430" s="47">
        <v>38.231491799421669</v>
      </c>
      <c r="N430" s="48">
        <v>2.6447657225772865</v>
      </c>
      <c r="O430" s="45">
        <v>0.9844804540186316</v>
      </c>
    </row>
    <row r="431" spans="1:15">
      <c r="A431" s="44">
        <v>2</v>
      </c>
      <c r="B431" s="44">
        <v>1995</v>
      </c>
      <c r="C431" s="44">
        <v>5</v>
      </c>
      <c r="D431" s="44">
        <v>50</v>
      </c>
      <c r="E431" s="44">
        <v>5</v>
      </c>
      <c r="F431" s="45">
        <v>4.5777619212905791E-3</v>
      </c>
      <c r="G431" s="45">
        <v>2.2644474829447325E-2</v>
      </c>
      <c r="H431" s="46">
        <v>92616.951373547519</v>
      </c>
      <c r="I431" s="46">
        <v>2097.2622241584468</v>
      </c>
      <c r="J431" s="46">
        <v>458141.39315641299</v>
      </c>
      <c r="K431" s="45">
        <v>0.97302432555234852</v>
      </c>
      <c r="L431" s="46">
        <v>3129757.2214082894</v>
      </c>
      <c r="M431" s="47">
        <v>33.792488038017893</v>
      </c>
      <c r="N431" s="48">
        <v>2.6429443803536796</v>
      </c>
      <c r="O431" s="45">
        <v>0.97735552517055269</v>
      </c>
    </row>
    <row r="432" spans="1:15">
      <c r="A432" s="44">
        <v>2</v>
      </c>
      <c r="B432" s="44">
        <v>1995</v>
      </c>
      <c r="C432" s="44">
        <v>5</v>
      </c>
      <c r="D432" s="44">
        <v>55</v>
      </c>
      <c r="E432" s="44">
        <v>5</v>
      </c>
      <c r="F432" s="45">
        <v>6.5007026985264222E-3</v>
      </c>
      <c r="G432" s="45">
        <v>3.2014039803225224E-2</v>
      </c>
      <c r="H432" s="46">
        <v>90519.689149389073</v>
      </c>
      <c r="I432" s="46">
        <v>2897.9009314041177</v>
      </c>
      <c r="J432" s="46">
        <v>445782.7200836321</v>
      </c>
      <c r="K432" s="45">
        <v>0.96030023573514312</v>
      </c>
      <c r="L432" s="46">
        <v>2671615.8282518764</v>
      </c>
      <c r="M432" s="47">
        <v>29.51419578830831</v>
      </c>
      <c r="N432" s="48">
        <v>2.648047388558993</v>
      </c>
      <c r="O432" s="45">
        <v>0.96798596019677474</v>
      </c>
    </row>
    <row r="433" spans="1:15">
      <c r="A433" s="44">
        <v>2</v>
      </c>
      <c r="B433" s="44">
        <v>1995</v>
      </c>
      <c r="C433" s="44">
        <v>5</v>
      </c>
      <c r="D433" s="44">
        <v>60</v>
      </c>
      <c r="E433" s="44">
        <v>5</v>
      </c>
      <c r="F433" s="45">
        <v>9.942760588249059E-3</v>
      </c>
      <c r="G433" s="45">
        <v>4.8576378666043266E-2</v>
      </c>
      <c r="H433" s="46">
        <v>87621.788217984955</v>
      </c>
      <c r="I433" s="46">
        <v>4256.3491638726846</v>
      </c>
      <c r="J433" s="46">
        <v>428085.25118296524</v>
      </c>
      <c r="K433" s="45">
        <v>0.94158663788640262</v>
      </c>
      <c r="L433" s="46">
        <v>2225833.1081682444</v>
      </c>
      <c r="M433" s="47">
        <v>25.402735477514224</v>
      </c>
      <c r="N433" s="48">
        <v>2.6450029071770502</v>
      </c>
      <c r="O433" s="45">
        <v>0.95142362133395675</v>
      </c>
    </row>
    <row r="434" spans="1:15">
      <c r="A434" s="44">
        <v>2</v>
      </c>
      <c r="B434" s="44">
        <v>1995</v>
      </c>
      <c r="C434" s="44">
        <v>5</v>
      </c>
      <c r="D434" s="44">
        <v>65</v>
      </c>
      <c r="E434" s="44">
        <v>5</v>
      </c>
      <c r="F434" s="45">
        <v>1.4401780414807183E-2</v>
      </c>
      <c r="G434" s="45">
        <v>6.9633896117277189E-2</v>
      </c>
      <c r="H434" s="46">
        <v>83365.43905411227</v>
      </c>
      <c r="I434" s="46">
        <v>5805.0603228652617</v>
      </c>
      <c r="J434" s="46">
        <v>403079.3523901244</v>
      </c>
      <c r="K434" s="45">
        <v>0.91507530198900378</v>
      </c>
      <c r="L434" s="46">
        <v>1797747.8569852789</v>
      </c>
      <c r="M434" s="47">
        <v>21.56466609404367</v>
      </c>
      <c r="N434" s="48">
        <v>2.6317484891093614</v>
      </c>
      <c r="O434" s="45">
        <v>0.93036610388272278</v>
      </c>
    </row>
    <row r="435" spans="1:15">
      <c r="A435" s="44">
        <v>2</v>
      </c>
      <c r="B435" s="44">
        <v>1995</v>
      </c>
      <c r="C435" s="44">
        <v>5</v>
      </c>
      <c r="D435" s="44">
        <v>70</v>
      </c>
      <c r="E435" s="44">
        <v>5</v>
      </c>
      <c r="F435" s="45">
        <v>2.1612141411606878E-2</v>
      </c>
      <c r="G435" s="45">
        <v>0.10277920768008499</v>
      </c>
      <c r="H435" s="46">
        <v>77560.378731247009</v>
      </c>
      <c r="I435" s="46">
        <v>7971.5942733648699</v>
      </c>
      <c r="J435" s="46">
        <v>368847.96011392516</v>
      </c>
      <c r="K435" s="45">
        <v>0.87548496925677499</v>
      </c>
      <c r="L435" s="46">
        <v>1394668.5045951544</v>
      </c>
      <c r="M435" s="47">
        <v>17.981713439381128</v>
      </c>
      <c r="N435" s="48">
        <v>2.6223158263786934</v>
      </c>
      <c r="O435" s="45">
        <v>0.89722079231991503</v>
      </c>
    </row>
    <row r="436" spans="1:15">
      <c r="A436" s="44">
        <v>2</v>
      </c>
      <c r="B436" s="44">
        <v>1995</v>
      </c>
      <c r="C436" s="44">
        <v>5</v>
      </c>
      <c r="D436" s="44">
        <v>75</v>
      </c>
      <c r="E436" s="44">
        <v>5</v>
      </c>
      <c r="F436" s="45">
        <v>3.215568362267323E-2</v>
      </c>
      <c r="G436" s="45">
        <v>0.14921571929365465</v>
      </c>
      <c r="H436" s="46">
        <v>69588.784457882139</v>
      </c>
      <c r="I436" s="46">
        <v>10383.740527653979</v>
      </c>
      <c r="J436" s="46">
        <v>322920.84502076393</v>
      </c>
      <c r="K436" s="45">
        <v>0.82419687893823734</v>
      </c>
      <c r="L436" s="46">
        <v>1025820.5444812293</v>
      </c>
      <c r="M436" s="47">
        <v>14.741176361574416</v>
      </c>
      <c r="N436" s="48">
        <v>2.5901673195699262</v>
      </c>
      <c r="O436" s="45">
        <v>0.85078428070634537</v>
      </c>
    </row>
    <row r="437" spans="1:15">
      <c r="A437" s="44">
        <v>2</v>
      </c>
      <c r="B437" s="44">
        <v>1995</v>
      </c>
      <c r="C437" s="44">
        <v>5</v>
      </c>
      <c r="D437" s="44">
        <v>80</v>
      </c>
      <c r="E437" s="44">
        <v>5</v>
      </c>
      <c r="F437" s="45">
        <v>4.5952820521438932E-2</v>
      </c>
      <c r="G437" s="45">
        <v>0.20657630791775039</v>
      </c>
      <c r="H437" s="46">
        <v>59205.043930228159</v>
      </c>
      <c r="I437" s="46">
        <v>12230.359385214746</v>
      </c>
      <c r="J437" s="46">
        <v>266150.35261021188</v>
      </c>
      <c r="K437" s="45">
        <v>0.7569564659801219</v>
      </c>
      <c r="L437" s="46">
        <v>702899.69946046534</v>
      </c>
      <c r="M437" s="47">
        <v>11.872294196569083</v>
      </c>
      <c r="N437" s="48">
        <v>2.5573189552349049</v>
      </c>
      <c r="O437" s="45">
        <v>0.79342369208224961</v>
      </c>
    </row>
    <row r="438" spans="1:15">
      <c r="A438" s="44">
        <v>2</v>
      </c>
      <c r="B438" s="44">
        <v>1995</v>
      </c>
      <c r="C438" s="44">
        <v>5</v>
      </c>
      <c r="D438" s="44">
        <v>85</v>
      </c>
      <c r="E438" s="44">
        <v>5</v>
      </c>
      <c r="F438" s="45">
        <v>6.7037248316425935E-2</v>
      </c>
      <c r="G438" s="45">
        <v>0.28750821354953093</v>
      </c>
      <c r="H438" s="46">
        <v>46974.684545013413</v>
      </c>
      <c r="I438" s="46">
        <v>13505.607635589571</v>
      </c>
      <c r="J438" s="46">
        <v>201464.23033118929</v>
      </c>
      <c r="K438" s="45">
        <v>0.66042028973664646</v>
      </c>
      <c r="L438" s="46">
        <v>436749.34685025347</v>
      </c>
      <c r="M438" s="47">
        <v>9.2975472018708096</v>
      </c>
      <c r="N438" s="48">
        <v>2.5262725457950599</v>
      </c>
      <c r="O438" s="45">
        <v>0.71249178645046907</v>
      </c>
    </row>
    <row r="439" spans="1:15">
      <c r="A439" s="44">
        <v>2</v>
      </c>
      <c r="B439" s="44">
        <v>1995</v>
      </c>
      <c r="C439" s="44">
        <v>5</v>
      </c>
      <c r="D439" s="44">
        <v>90</v>
      </c>
      <c r="E439" s="44">
        <v>5</v>
      </c>
      <c r="F439" s="45">
        <v>0.10191059734326934</v>
      </c>
      <c r="G439" s="45">
        <v>0.40512959426379391</v>
      </c>
      <c r="H439" s="46">
        <v>33469.076909423842</v>
      </c>
      <c r="I439" s="46">
        <v>13559.313548698592</v>
      </c>
      <c r="J439" s="46">
        <v>133051.0653668945</v>
      </c>
      <c r="K439" s="45">
        <v>0.52484043300177008</v>
      </c>
      <c r="L439" s="46">
        <v>235285.11651906418</v>
      </c>
      <c r="M439" s="47">
        <v>7.0299254788474688</v>
      </c>
      <c r="N439" s="48">
        <v>2.4707923777220842</v>
      </c>
      <c r="O439" s="45">
        <v>0.59487040573620609</v>
      </c>
    </row>
    <row r="440" spans="1:15">
      <c r="A440" s="44">
        <v>2</v>
      </c>
      <c r="B440" s="44">
        <v>1995</v>
      </c>
      <c r="C440" s="44">
        <v>5</v>
      </c>
      <c r="D440" s="44">
        <v>95</v>
      </c>
      <c r="E440" s="44">
        <v>5</v>
      </c>
      <c r="F440" s="45">
        <v>0.16144391332485222</v>
      </c>
      <c r="G440" s="45">
        <v>0.56624087892233599</v>
      </c>
      <c r="H440" s="46">
        <v>19909.76336072525</v>
      </c>
      <c r="I440" s="46">
        <v>11273.721904512788</v>
      </c>
      <c r="J440" s="46">
        <v>69830.57875850772</v>
      </c>
      <c r="K440" s="45">
        <v>0.31695381361177988</v>
      </c>
      <c r="L440" s="46">
        <v>102234.05115216968</v>
      </c>
      <c r="M440" s="47">
        <v>5.1348702292384054</v>
      </c>
      <c r="N440" s="48">
        <v>2.3639372784934012</v>
      </c>
      <c r="O440" s="45">
        <v>0.43375912107766401</v>
      </c>
    </row>
    <row r="441" spans="1:15">
      <c r="A441" s="44">
        <v>2</v>
      </c>
      <c r="B441" s="44">
        <v>1995</v>
      </c>
      <c r="C441" s="44">
        <v>5</v>
      </c>
      <c r="D441" s="44">
        <v>100</v>
      </c>
      <c r="E441" s="44">
        <v>0</v>
      </c>
      <c r="F441" s="45">
        <v>0.26651592617282743</v>
      </c>
      <c r="G441" s="45">
        <v>1</v>
      </c>
      <c r="H441" s="46">
        <v>8636.0414562124624</v>
      </c>
      <c r="I441" s="46">
        <v>8636.0414562124624</v>
      </c>
      <c r="J441" s="46">
        <v>32403.472393661959</v>
      </c>
      <c r="K441" s="45">
        <v>0</v>
      </c>
      <c r="L441" s="46">
        <v>32403.472393661959</v>
      </c>
      <c r="M441" s="47">
        <v>3.7521209871395476</v>
      </c>
      <c r="N441" s="48">
        <v>3.7521209871395476</v>
      </c>
      <c r="O441" s="45">
        <v>0</v>
      </c>
    </row>
    <row r="442" spans="1:15">
      <c r="A442" s="39">
        <v>1</v>
      </c>
      <c r="B442" s="39">
        <v>2000</v>
      </c>
      <c r="C442" s="39">
        <v>5</v>
      </c>
      <c r="D442" s="39">
        <v>0</v>
      </c>
      <c r="E442" s="39">
        <v>1</v>
      </c>
      <c r="F442" s="40">
        <v>1.7819258203423876E-2</v>
      </c>
      <c r="G442" s="40">
        <v>1.7535789502434344E-2</v>
      </c>
      <c r="H442" s="41">
        <v>100000</v>
      </c>
      <c r="I442" s="41">
        <v>1753.5789502434345</v>
      </c>
      <c r="J442" s="41">
        <v>98409.200328355102</v>
      </c>
      <c r="K442" s="40">
        <v>0.98122160362583699</v>
      </c>
      <c r="L442" s="41">
        <v>7375262.4007002367</v>
      </c>
      <c r="M442" s="42">
        <v>73.752624007002368</v>
      </c>
      <c r="N442" s="43">
        <v>9.2826889017989689E-2</v>
      </c>
      <c r="O442" s="40">
        <v>0.9824642104975656</v>
      </c>
    </row>
    <row r="443" spans="1:15">
      <c r="A443" s="39">
        <v>1</v>
      </c>
      <c r="B443" s="39">
        <v>2000</v>
      </c>
      <c r="C443" s="39">
        <v>5</v>
      </c>
      <c r="D443" s="39">
        <v>1</v>
      </c>
      <c r="E443" s="39">
        <v>4</v>
      </c>
      <c r="F443" s="40">
        <v>8.3327789281969632E-4</v>
      </c>
      <c r="G443" s="40">
        <v>3.3264613667712819E-3</v>
      </c>
      <c r="H443" s="41">
        <v>98246.421049756565</v>
      </c>
      <c r="I443" s="41">
        <v>326.81292404556007</v>
      </c>
      <c r="J443" s="41">
        <v>392201.60148456338</v>
      </c>
      <c r="K443" s="40">
        <v>0.99697924292533124</v>
      </c>
      <c r="L443" s="41">
        <v>7276853.2003718819</v>
      </c>
      <c r="M443" s="42">
        <v>74.067361666910429</v>
      </c>
      <c r="N443" s="43">
        <v>1.6008209688991584</v>
      </c>
      <c r="O443" s="40">
        <v>0.99667353863322872</v>
      </c>
    </row>
    <row r="444" spans="1:15">
      <c r="A444" s="39">
        <v>1</v>
      </c>
      <c r="B444" s="39">
        <v>2000</v>
      </c>
      <c r="C444" s="39">
        <v>5</v>
      </c>
      <c r="D444" s="39">
        <v>5</v>
      </c>
      <c r="E444" s="39">
        <v>5</v>
      </c>
      <c r="F444" s="40">
        <v>3.8374749536798858E-4</v>
      </c>
      <c r="G444" s="40">
        <v>1.9168984643784929E-3</v>
      </c>
      <c r="H444" s="41">
        <v>97919.608125711005</v>
      </c>
      <c r="I444" s="41">
        <v>187.7019464487239</v>
      </c>
      <c r="J444" s="41">
        <v>489128.7857624332</v>
      </c>
      <c r="K444" s="40">
        <v>0.99787712799106076</v>
      </c>
      <c r="L444" s="41">
        <v>6884651.5988873187</v>
      </c>
      <c r="M444" s="42">
        <v>70.309223358499096</v>
      </c>
      <c r="N444" s="43">
        <v>2.5</v>
      </c>
      <c r="O444" s="40">
        <v>0.99808310153562152</v>
      </c>
    </row>
    <row r="445" spans="1:15">
      <c r="A445" s="39">
        <v>1</v>
      </c>
      <c r="B445" s="39">
        <v>2000</v>
      </c>
      <c r="C445" s="39">
        <v>5</v>
      </c>
      <c r="D445" s="39">
        <v>10</v>
      </c>
      <c r="E445" s="39">
        <v>5</v>
      </c>
      <c r="F445" s="40">
        <v>4.6639139745056213E-4</v>
      </c>
      <c r="G445" s="40">
        <v>2.3292411421745652E-3</v>
      </c>
      <c r="H445" s="41">
        <v>97731.906179262282</v>
      </c>
      <c r="I445" s="41">
        <v>227.64117677588365</v>
      </c>
      <c r="J445" s="41">
        <v>488090.42795437167</v>
      </c>
      <c r="K445" s="40">
        <v>0.99539015733377789</v>
      </c>
      <c r="L445" s="41">
        <v>6395522.8131248858</v>
      </c>
      <c r="M445" s="42">
        <v>65.439456398139413</v>
      </c>
      <c r="N445" s="43">
        <v>2.5</v>
      </c>
      <c r="O445" s="40">
        <v>0.99767075885782541</v>
      </c>
    </row>
    <row r="446" spans="1:15">
      <c r="A446" s="39">
        <v>1</v>
      </c>
      <c r="B446" s="39">
        <v>2000</v>
      </c>
      <c r="C446" s="39">
        <v>5</v>
      </c>
      <c r="D446" s="39">
        <v>15</v>
      </c>
      <c r="E446" s="39">
        <v>5</v>
      </c>
      <c r="F446" s="40">
        <v>1.603464640488022E-3</v>
      </c>
      <c r="G446" s="40">
        <v>7.9896803993892446E-3</v>
      </c>
      <c r="H446" s="41">
        <v>97504.265002486398</v>
      </c>
      <c r="I446" s="41">
        <v>779.02791494721896</v>
      </c>
      <c r="J446" s="41">
        <v>485840.40787461301</v>
      </c>
      <c r="K446" s="40">
        <v>0.98962076537912602</v>
      </c>
      <c r="L446" s="41">
        <v>5907432.3851705138</v>
      </c>
      <c r="M446" s="42">
        <v>60.58639983614944</v>
      </c>
      <c r="N446" s="43">
        <v>2.8422889532362325</v>
      </c>
      <c r="O446" s="40">
        <v>0.9920103196006107</v>
      </c>
    </row>
    <row r="447" spans="1:15">
      <c r="A447" s="39">
        <v>1</v>
      </c>
      <c r="B447" s="39">
        <v>2000</v>
      </c>
      <c r="C447" s="39">
        <v>5</v>
      </c>
      <c r="D447" s="39">
        <v>20</v>
      </c>
      <c r="E447" s="39">
        <v>5</v>
      </c>
      <c r="F447" s="40">
        <v>2.4504986470330289E-3</v>
      </c>
      <c r="G447" s="40">
        <v>1.2180836013109651E-2</v>
      </c>
      <c r="H447" s="41">
        <v>96725.237087539179</v>
      </c>
      <c r="I447" s="41">
        <v>1178.1942512924579</v>
      </c>
      <c r="J447" s="41">
        <v>480797.75629298127</v>
      </c>
      <c r="K447" s="40">
        <v>0.98718358472541212</v>
      </c>
      <c r="L447" s="41">
        <v>5421591.9772959007</v>
      </c>
      <c r="M447" s="42">
        <v>56.05147260987534</v>
      </c>
      <c r="N447" s="43">
        <v>2.5993524483659072</v>
      </c>
      <c r="O447" s="40">
        <v>0.9878191639868904</v>
      </c>
    </row>
    <row r="448" spans="1:15">
      <c r="A448" s="39">
        <v>1</v>
      </c>
      <c r="B448" s="39">
        <v>2000</v>
      </c>
      <c r="C448" s="39">
        <v>5</v>
      </c>
      <c r="D448" s="39">
        <v>25</v>
      </c>
      <c r="E448" s="39">
        <v>5</v>
      </c>
      <c r="F448" s="40">
        <v>2.6473613503062085E-3</v>
      </c>
      <c r="G448" s="40">
        <v>1.315092591913114E-2</v>
      </c>
      <c r="H448" s="41">
        <v>95547.042836246721</v>
      </c>
      <c r="I448" s="41">
        <v>1256.5320821315399</v>
      </c>
      <c r="J448" s="41">
        <v>474635.65258524031</v>
      </c>
      <c r="K448" s="40">
        <v>0.9861552007531732</v>
      </c>
      <c r="L448" s="41">
        <v>4940794.2210029196</v>
      </c>
      <c r="M448" s="42">
        <v>51.710592754510451</v>
      </c>
      <c r="N448" s="43">
        <v>2.5332411801732091</v>
      </c>
      <c r="O448" s="40">
        <v>0.98684907408086886</v>
      </c>
    </row>
    <row r="449" spans="1:15">
      <c r="A449" s="39">
        <v>1</v>
      </c>
      <c r="B449" s="39">
        <v>2000</v>
      </c>
      <c r="C449" s="39">
        <v>5</v>
      </c>
      <c r="D449" s="39">
        <v>30</v>
      </c>
      <c r="E449" s="39">
        <v>5</v>
      </c>
      <c r="F449" s="40">
        <v>2.9515274369304231E-3</v>
      </c>
      <c r="G449" s="40">
        <v>1.4651580087372556E-2</v>
      </c>
      <c r="H449" s="41">
        <v>94290.510754115181</v>
      </c>
      <c r="I449" s="41">
        <v>1381.5049697931681</v>
      </c>
      <c r="J449" s="41">
        <v>468064.41725981102</v>
      </c>
      <c r="K449" s="40">
        <v>0.98431054733909096</v>
      </c>
      <c r="L449" s="41">
        <v>4466158.5684176795</v>
      </c>
      <c r="M449" s="42">
        <v>47.365938870182227</v>
      </c>
      <c r="N449" s="43">
        <v>2.5475032049488981</v>
      </c>
      <c r="O449" s="40">
        <v>0.98534841991262745</v>
      </c>
    </row>
    <row r="450" spans="1:15">
      <c r="A450" s="39">
        <v>1</v>
      </c>
      <c r="B450" s="39">
        <v>2000</v>
      </c>
      <c r="C450" s="39">
        <v>5</v>
      </c>
      <c r="D450" s="39">
        <v>35</v>
      </c>
      <c r="E450" s="39">
        <v>5</v>
      </c>
      <c r="F450" s="40">
        <v>3.4249747012864875E-3</v>
      </c>
      <c r="G450" s="40">
        <v>1.6983895962847793E-2</v>
      </c>
      <c r="H450" s="41">
        <v>92909.005784322013</v>
      </c>
      <c r="I450" s="41">
        <v>1577.9568882525637</v>
      </c>
      <c r="J450" s="41">
        <v>460720.74274295726</v>
      </c>
      <c r="K450" s="40">
        <v>0.98079596658251378</v>
      </c>
      <c r="L450" s="41">
        <v>3998094.1511578681</v>
      </c>
      <c r="M450" s="42">
        <v>43.032363950153567</v>
      </c>
      <c r="N450" s="43">
        <v>2.5764317725512531</v>
      </c>
      <c r="O450" s="40">
        <v>0.98301610403715223</v>
      </c>
    </row>
    <row r="451" spans="1:15">
      <c r="A451" s="39">
        <v>1</v>
      </c>
      <c r="B451" s="39">
        <v>2000</v>
      </c>
      <c r="C451" s="39">
        <v>5</v>
      </c>
      <c r="D451" s="39">
        <v>40</v>
      </c>
      <c r="E451" s="39">
        <v>5</v>
      </c>
      <c r="F451" s="40">
        <v>4.4081057711906537E-3</v>
      </c>
      <c r="G451" s="40">
        <v>2.180971539131768E-2</v>
      </c>
      <c r="H451" s="41">
        <v>91331.048896069449</v>
      </c>
      <c r="I451" s="41">
        <v>1991.9041828137852</v>
      </c>
      <c r="J451" s="41">
        <v>451873.04620319244</v>
      </c>
      <c r="K451" s="40">
        <v>0.97511514996526338</v>
      </c>
      <c r="L451" s="41">
        <v>3537373.408414911</v>
      </c>
      <c r="M451" s="42">
        <v>38.731334537067234</v>
      </c>
      <c r="N451" s="43">
        <v>2.5991825719250219</v>
      </c>
      <c r="O451" s="40">
        <v>0.97819028460868229</v>
      </c>
    </row>
    <row r="452" spans="1:15">
      <c r="A452" s="39">
        <v>1</v>
      </c>
      <c r="B452" s="39">
        <v>2000</v>
      </c>
      <c r="C452" s="39">
        <v>5</v>
      </c>
      <c r="D452" s="39">
        <v>45</v>
      </c>
      <c r="E452" s="39">
        <v>5</v>
      </c>
      <c r="F452" s="40">
        <v>5.7618090014561569E-3</v>
      </c>
      <c r="G452" s="40">
        <v>2.841773159807098E-2</v>
      </c>
      <c r="H452" s="41">
        <v>89339.144713255664</v>
      </c>
      <c r="I452" s="41">
        <v>2538.8158356625354</v>
      </c>
      <c r="J452" s="41">
        <v>440628.2532136864</v>
      </c>
      <c r="K452" s="40">
        <v>0.96669588044406252</v>
      </c>
      <c r="L452" s="41">
        <v>3085500.3622117187</v>
      </c>
      <c r="M452" s="42">
        <v>34.536936436038083</v>
      </c>
      <c r="N452" s="43">
        <v>2.6101179662728393</v>
      </c>
      <c r="O452" s="40">
        <v>0.97158226840192907</v>
      </c>
    </row>
    <row r="453" spans="1:15">
      <c r="A453" s="39">
        <v>1</v>
      </c>
      <c r="B453" s="39">
        <v>2000</v>
      </c>
      <c r="C453" s="39">
        <v>5</v>
      </c>
      <c r="D453" s="39">
        <v>50</v>
      </c>
      <c r="E453" s="39">
        <v>5</v>
      </c>
      <c r="F453" s="40">
        <v>7.9218866826717468E-3</v>
      </c>
      <c r="G453" s="40">
        <v>3.8874916015753387E-2</v>
      </c>
      <c r="H453" s="41">
        <v>86800.328877593129</v>
      </c>
      <c r="I453" s="41">
        <v>3374.3554952561972</v>
      </c>
      <c r="J453" s="41">
        <v>425953.51718893391</v>
      </c>
      <c r="K453" s="40">
        <v>0.95467344481716565</v>
      </c>
      <c r="L453" s="41">
        <v>2644872.1089980323</v>
      </c>
      <c r="M453" s="42">
        <v>30.470761380730053</v>
      </c>
      <c r="N453" s="43">
        <v>2.6149142524117295</v>
      </c>
      <c r="O453" s="40">
        <v>0.96112508398424656</v>
      </c>
    </row>
    <row r="454" spans="1:15">
      <c r="A454" s="39">
        <v>1</v>
      </c>
      <c r="B454" s="39">
        <v>2000</v>
      </c>
      <c r="C454" s="39">
        <v>5</v>
      </c>
      <c r="D454" s="39">
        <v>55</v>
      </c>
      <c r="E454" s="39">
        <v>5</v>
      </c>
      <c r="F454" s="40">
        <v>1.0827170550710193E-2</v>
      </c>
      <c r="G454" s="40">
        <v>5.2775304336254061E-2</v>
      </c>
      <c r="H454" s="41">
        <v>83425.973382336932</v>
      </c>
      <c r="I454" s="41">
        <v>4402.8311348010757</v>
      </c>
      <c r="J454" s="41">
        <v>406646.51158674731</v>
      </c>
      <c r="K454" s="40">
        <v>0.93662783470258815</v>
      </c>
      <c r="L454" s="41">
        <v>2218918.5918090986</v>
      </c>
      <c r="M454" s="42">
        <v>26.597455227041934</v>
      </c>
      <c r="N454" s="43">
        <v>2.6189513056555125</v>
      </c>
      <c r="O454" s="40">
        <v>0.9472246956637459</v>
      </c>
    </row>
    <row r="455" spans="1:15">
      <c r="A455" s="39">
        <v>1</v>
      </c>
      <c r="B455" s="39">
        <v>2000</v>
      </c>
      <c r="C455" s="39">
        <v>5</v>
      </c>
      <c r="D455" s="39">
        <v>60</v>
      </c>
      <c r="E455" s="39">
        <v>5</v>
      </c>
      <c r="F455" s="40">
        <v>1.5624924562638441E-2</v>
      </c>
      <c r="G455" s="40">
        <v>7.5309149940157069E-2</v>
      </c>
      <c r="H455" s="41">
        <v>79023.142247535856</v>
      </c>
      <c r="I455" s="41">
        <v>5951.1656682620378</v>
      </c>
      <c r="J455" s="41">
        <v>380876.44163685606</v>
      </c>
      <c r="K455" s="40">
        <v>0.9127760639070992</v>
      </c>
      <c r="L455" s="41">
        <v>1812272.0802223515</v>
      </c>
      <c r="M455" s="42">
        <v>22.933434797435719</v>
      </c>
      <c r="N455" s="43">
        <v>2.6073141978281358</v>
      </c>
      <c r="O455" s="40">
        <v>0.92469085005984297</v>
      </c>
    </row>
    <row r="456" spans="1:15">
      <c r="A456" s="39">
        <v>1</v>
      </c>
      <c r="B456" s="39">
        <v>2000</v>
      </c>
      <c r="C456" s="39">
        <v>5</v>
      </c>
      <c r="D456" s="39">
        <v>65</v>
      </c>
      <c r="E456" s="39">
        <v>5</v>
      </c>
      <c r="F456" s="40">
        <v>2.1187601204814541E-2</v>
      </c>
      <c r="G456" s="40">
        <v>0.10080435355188948</v>
      </c>
      <c r="H456" s="41">
        <v>73071.976579273818</v>
      </c>
      <c r="I456" s="41">
        <v>7365.9733618324972</v>
      </c>
      <c r="J456" s="41">
        <v>347654.89923223149</v>
      </c>
      <c r="K456" s="40">
        <v>0.87943107761607076</v>
      </c>
      <c r="L456" s="41">
        <v>1431395.6385854955</v>
      </c>
      <c r="M456" s="42">
        <v>19.588845212536615</v>
      </c>
      <c r="N456" s="43">
        <v>2.596382338839605</v>
      </c>
      <c r="O456" s="40">
        <v>0.89919564644811056</v>
      </c>
    </row>
    <row r="457" spans="1:15">
      <c r="A457" s="39">
        <v>1</v>
      </c>
      <c r="B457" s="39">
        <v>2000</v>
      </c>
      <c r="C457" s="39">
        <v>5</v>
      </c>
      <c r="D457" s="39">
        <v>70</v>
      </c>
      <c r="E457" s="39">
        <v>5</v>
      </c>
      <c r="F457" s="40">
        <v>3.0672871704327732E-2</v>
      </c>
      <c r="G457" s="40">
        <v>0.14272483520117291</v>
      </c>
      <c r="H457" s="41">
        <v>65706.003217441321</v>
      </c>
      <c r="I457" s="41">
        <v>9377.8784809370482</v>
      </c>
      <c r="J457" s="41">
        <v>305738.52267030784</v>
      </c>
      <c r="K457" s="40">
        <v>0.83797640825003816</v>
      </c>
      <c r="L457" s="41">
        <v>1083740.739353264</v>
      </c>
      <c r="M457" s="42">
        <v>16.493785746894897</v>
      </c>
      <c r="N457" s="43">
        <v>2.5696535774878808</v>
      </c>
      <c r="O457" s="40">
        <v>0.85727516479882704</v>
      </c>
    </row>
    <row r="458" spans="1:15">
      <c r="A458" s="39">
        <v>1</v>
      </c>
      <c r="B458" s="39">
        <v>2000</v>
      </c>
      <c r="C458" s="39">
        <v>5</v>
      </c>
      <c r="D458" s="39">
        <v>75</v>
      </c>
      <c r="E458" s="39">
        <v>5</v>
      </c>
      <c r="F458" s="40">
        <v>4.0224732820980186E-2</v>
      </c>
      <c r="G458" s="40">
        <v>0.18295733677768633</v>
      </c>
      <c r="H458" s="41">
        <v>56328.124736504273</v>
      </c>
      <c r="I458" s="41">
        <v>10305.64368747214</v>
      </c>
      <c r="J458" s="41">
        <v>256201.66909093744</v>
      </c>
      <c r="K458" s="40">
        <v>0.79292030572465044</v>
      </c>
      <c r="L458" s="41">
        <v>778002.21668295609</v>
      </c>
      <c r="M458" s="42">
        <v>13.811967295597899</v>
      </c>
      <c r="N458" s="43">
        <v>2.5315511225651717</v>
      </c>
      <c r="O458" s="40">
        <v>0.81704266322231367</v>
      </c>
    </row>
    <row r="459" spans="1:15">
      <c r="A459" s="39">
        <v>1</v>
      </c>
      <c r="B459" s="39">
        <v>2000</v>
      </c>
      <c r="C459" s="39">
        <v>5</v>
      </c>
      <c r="D459" s="39">
        <v>80</v>
      </c>
      <c r="E459" s="39">
        <v>5</v>
      </c>
      <c r="F459" s="40">
        <v>5.3360529387889197E-2</v>
      </c>
      <c r="G459" s="40">
        <v>0.23553833268675745</v>
      </c>
      <c r="H459" s="41">
        <v>46022.481049032132</v>
      </c>
      <c r="I459" s="41">
        <v>10840.058452396923</v>
      </c>
      <c r="J459" s="41">
        <v>203147.50578275183</v>
      </c>
      <c r="K459" s="40">
        <v>0.73210308186617501</v>
      </c>
      <c r="L459" s="41">
        <v>521800.54759201867</v>
      </c>
      <c r="M459" s="42">
        <v>11.337949100051665</v>
      </c>
      <c r="N459" s="43">
        <v>2.5124765626659111</v>
      </c>
      <c r="O459" s="40">
        <v>0.7644616673132425</v>
      </c>
    </row>
    <row r="460" spans="1:15">
      <c r="A460" s="39">
        <v>1</v>
      </c>
      <c r="B460" s="39">
        <v>2000</v>
      </c>
      <c r="C460" s="39">
        <v>5</v>
      </c>
      <c r="D460" s="39">
        <v>85</v>
      </c>
      <c r="E460" s="39">
        <v>5</v>
      </c>
      <c r="F460" s="40">
        <v>7.2818849647571057E-2</v>
      </c>
      <c r="G460" s="40">
        <v>0.30782352177810823</v>
      </c>
      <c r="H460" s="41">
        <v>35182.42259663521</v>
      </c>
      <c r="I460" s="41">
        <v>10829.977228381944</v>
      </c>
      <c r="J460" s="41">
        <v>148724.91505697923</v>
      </c>
      <c r="K460" s="40">
        <v>0.64536256303126904</v>
      </c>
      <c r="L460" s="41">
        <v>318653.04180926684</v>
      </c>
      <c r="M460" s="42">
        <v>9.0571660019723126</v>
      </c>
      <c r="N460" s="43">
        <v>2.4896348022830757</v>
      </c>
      <c r="O460" s="40">
        <v>0.69217647822189177</v>
      </c>
    </row>
    <row r="461" spans="1:15">
      <c r="A461" s="39">
        <v>1</v>
      </c>
      <c r="B461" s="39">
        <v>2000</v>
      </c>
      <c r="C461" s="39">
        <v>5</v>
      </c>
      <c r="D461" s="39">
        <v>90</v>
      </c>
      <c r="E461" s="39">
        <v>5</v>
      </c>
      <c r="F461" s="40">
        <v>0.10516251021949115</v>
      </c>
      <c r="G461" s="40">
        <v>0.41448218112695662</v>
      </c>
      <c r="H461" s="41">
        <v>24352.445368253266</v>
      </c>
      <c r="I461" s="41">
        <v>10093.654672008666</v>
      </c>
      <c r="J461" s="41">
        <v>95981.492367779894</v>
      </c>
      <c r="K461" s="40">
        <v>0.52113975955758418</v>
      </c>
      <c r="L461" s="41">
        <v>169928.12675228762</v>
      </c>
      <c r="M461" s="42">
        <v>6.9778670758794563</v>
      </c>
      <c r="N461" s="43">
        <v>2.4458473851913549</v>
      </c>
      <c r="O461" s="40">
        <v>0.58551781887304344</v>
      </c>
    </row>
    <row r="462" spans="1:15">
      <c r="A462" s="39">
        <v>1</v>
      </c>
      <c r="B462" s="39">
        <v>2000</v>
      </c>
      <c r="C462" s="39">
        <v>5</v>
      </c>
      <c r="D462" s="39">
        <v>95</v>
      </c>
      <c r="E462" s="39">
        <v>5</v>
      </c>
      <c r="F462" s="40">
        <v>0.16072059081178927</v>
      </c>
      <c r="G462" s="40">
        <v>0.56380708967466309</v>
      </c>
      <c r="H462" s="41">
        <v>14258.7906962446</v>
      </c>
      <c r="I462" s="41">
        <v>8039.2072847298305</v>
      </c>
      <c r="J462" s="41">
        <v>50019.771854522915</v>
      </c>
      <c r="K462" s="40">
        <v>0.32356932440724617</v>
      </c>
      <c r="L462" s="41">
        <v>73946.634384507721</v>
      </c>
      <c r="M462" s="42">
        <v>5.1860382805102381</v>
      </c>
      <c r="N462" s="43">
        <v>2.3536965930571805</v>
      </c>
      <c r="O462" s="40">
        <v>0.43619291032533691</v>
      </c>
    </row>
    <row r="463" spans="1:15">
      <c r="A463" s="39">
        <v>1</v>
      </c>
      <c r="B463" s="39">
        <v>2000</v>
      </c>
      <c r="C463" s="39">
        <v>5</v>
      </c>
      <c r="D463" s="39">
        <v>100</v>
      </c>
      <c r="E463" s="39">
        <v>0</v>
      </c>
      <c r="F463" s="40">
        <v>0.25994145298910282</v>
      </c>
      <c r="G463" s="40">
        <v>1</v>
      </c>
      <c r="H463" s="41">
        <v>6219.5834115147691</v>
      </c>
      <c r="I463" s="41">
        <v>6219.5834115147691</v>
      </c>
      <c r="J463" s="41">
        <v>23926.862529984799</v>
      </c>
      <c r="K463" s="40">
        <v>0</v>
      </c>
      <c r="L463" s="41">
        <v>23926.862529984799</v>
      </c>
      <c r="M463" s="42">
        <v>3.8470201212652362</v>
      </c>
      <c r="N463" s="43">
        <v>3.8470201212652362</v>
      </c>
      <c r="O463" s="40">
        <v>0</v>
      </c>
    </row>
    <row r="464" spans="1:15">
      <c r="A464" s="44">
        <v>2</v>
      </c>
      <c r="B464" s="44">
        <v>2000</v>
      </c>
      <c r="C464" s="44">
        <v>5</v>
      </c>
      <c r="D464" s="44">
        <v>0</v>
      </c>
      <c r="E464" s="44">
        <v>1</v>
      </c>
      <c r="F464" s="45">
        <v>1.5190355776068956E-2</v>
      </c>
      <c r="G464" s="45">
        <v>1.4984481355808529E-2</v>
      </c>
      <c r="H464" s="46">
        <v>100000</v>
      </c>
      <c r="I464" s="46">
        <v>1498.448135580853</v>
      </c>
      <c r="J464" s="46">
        <v>98644.703104421016</v>
      </c>
      <c r="K464" s="45">
        <v>0.98381673671026493</v>
      </c>
      <c r="L464" s="46">
        <v>8047698.0986501267</v>
      </c>
      <c r="M464" s="47">
        <v>80.47698098650126</v>
      </c>
      <c r="N464" s="48">
        <v>9.5532996172993073E-2</v>
      </c>
      <c r="O464" s="45">
        <v>0.98501551864419146</v>
      </c>
    </row>
    <row r="465" spans="1:15">
      <c r="A465" s="44">
        <v>2</v>
      </c>
      <c r="B465" s="44">
        <v>2000</v>
      </c>
      <c r="C465" s="44">
        <v>5</v>
      </c>
      <c r="D465" s="44">
        <v>1</v>
      </c>
      <c r="E465" s="44">
        <v>4</v>
      </c>
      <c r="F465" s="45">
        <v>7.5494166047261049E-4</v>
      </c>
      <c r="G465" s="45">
        <v>3.0140756041749984E-3</v>
      </c>
      <c r="H465" s="46">
        <v>98501.551864419147</v>
      </c>
      <c r="I465" s="46">
        <v>296.89112444792408</v>
      </c>
      <c r="J465" s="46">
        <v>393263.66525071143</v>
      </c>
      <c r="K465" s="45">
        <v>0.99748872851373827</v>
      </c>
      <c r="L465" s="46">
        <v>7949053.3955457062</v>
      </c>
      <c r="M465" s="47">
        <v>80.699778278488964</v>
      </c>
      <c r="N465" s="48">
        <v>1.4989410399319274</v>
      </c>
      <c r="O465" s="45">
        <v>0.99698592439582501</v>
      </c>
    </row>
    <row r="466" spans="1:15">
      <c r="A466" s="44">
        <v>2</v>
      </c>
      <c r="B466" s="44">
        <v>2000</v>
      </c>
      <c r="C466" s="44">
        <v>5</v>
      </c>
      <c r="D466" s="44">
        <v>5</v>
      </c>
      <c r="E466" s="44">
        <v>5</v>
      </c>
      <c r="F466" s="45">
        <v>2.8552683051198853E-4</v>
      </c>
      <c r="G466" s="45">
        <v>1.4266158098335925E-3</v>
      </c>
      <c r="H466" s="46">
        <v>98204.660739971223</v>
      </c>
      <c r="I466" s="46">
        <v>140.10032161098206</v>
      </c>
      <c r="J466" s="46">
        <v>490673.05289582867</v>
      </c>
      <c r="K466" s="45">
        <v>0.99852785099301467</v>
      </c>
      <c r="L466" s="46">
        <v>7555789.730294995</v>
      </c>
      <c r="M466" s="47">
        <v>76.939217277084282</v>
      </c>
      <c r="N466" s="48">
        <v>2.5</v>
      </c>
      <c r="O466" s="45">
        <v>0.99857338419016639</v>
      </c>
    </row>
    <row r="467" spans="1:15">
      <c r="A467" s="44">
        <v>2</v>
      </c>
      <c r="B467" s="44">
        <v>2000</v>
      </c>
      <c r="C467" s="44">
        <v>5</v>
      </c>
      <c r="D467" s="44">
        <v>10</v>
      </c>
      <c r="E467" s="44">
        <v>5</v>
      </c>
      <c r="F467" s="45">
        <v>3.0377998168053385E-4</v>
      </c>
      <c r="G467" s="45">
        <v>1.5177472553191279E-3</v>
      </c>
      <c r="H467" s="46">
        <v>98064.560418360241</v>
      </c>
      <c r="I467" s="46">
        <v>148.83721741904446</v>
      </c>
      <c r="J467" s="46">
        <v>489950.7090482536</v>
      </c>
      <c r="K467" s="45">
        <v>0.99809901950233149</v>
      </c>
      <c r="L467" s="46">
        <v>7065116.6773991659</v>
      </c>
      <c r="M467" s="47">
        <v>72.045565158892941</v>
      </c>
      <c r="N467" s="48">
        <v>2.5</v>
      </c>
      <c r="O467" s="45">
        <v>0.99848225274468083</v>
      </c>
    </row>
    <row r="468" spans="1:15">
      <c r="A468" s="44">
        <v>2</v>
      </c>
      <c r="B468" s="44">
        <v>2000</v>
      </c>
      <c r="C468" s="44">
        <v>5</v>
      </c>
      <c r="D468" s="44">
        <v>15</v>
      </c>
      <c r="E468" s="44">
        <v>5</v>
      </c>
      <c r="F468" s="45">
        <v>4.8555139788194497E-4</v>
      </c>
      <c r="G468" s="45">
        <v>2.4249835243462825E-3</v>
      </c>
      <c r="H468" s="46">
        <v>97915.723200941196</v>
      </c>
      <c r="I468" s="46">
        <v>237.44401553673379</v>
      </c>
      <c r="J468" s="46">
        <v>489019.32230553403</v>
      </c>
      <c r="K468" s="45">
        <v>0.99725335281908678</v>
      </c>
      <c r="L468" s="46">
        <v>6575165.9683509124</v>
      </c>
      <c r="M468" s="47">
        <v>67.151278195203176</v>
      </c>
      <c r="N468" s="48">
        <v>2.6445239190060197</v>
      </c>
      <c r="O468" s="45">
        <v>0.99757501647565372</v>
      </c>
    </row>
    <row r="469" spans="1:15">
      <c r="A469" s="44">
        <v>2</v>
      </c>
      <c r="B469" s="44">
        <v>2000</v>
      </c>
      <c r="C469" s="44">
        <v>5</v>
      </c>
      <c r="D469" s="44">
        <v>20</v>
      </c>
      <c r="E469" s="44">
        <v>5</v>
      </c>
      <c r="F469" s="45">
        <v>6.1086379941769655E-4</v>
      </c>
      <c r="G469" s="45">
        <v>3.0498460221810467E-3</v>
      </c>
      <c r="H469" s="46">
        <v>97678.279185404463</v>
      </c>
      <c r="I469" s="46">
        <v>297.90371122710349</v>
      </c>
      <c r="J469" s="46">
        <v>487676.15876251145</v>
      </c>
      <c r="K469" s="45">
        <v>0.99654062794302756</v>
      </c>
      <c r="L469" s="46">
        <v>6086146.6460453784</v>
      </c>
      <c r="M469" s="47">
        <v>62.308086268526303</v>
      </c>
      <c r="N469" s="48">
        <v>2.5990995158646726</v>
      </c>
      <c r="O469" s="45">
        <v>0.99695015397781894</v>
      </c>
    </row>
    <row r="470" spans="1:15">
      <c r="A470" s="44">
        <v>2</v>
      </c>
      <c r="B470" s="44">
        <v>2000</v>
      </c>
      <c r="C470" s="44">
        <v>5</v>
      </c>
      <c r="D470" s="44">
        <v>25</v>
      </c>
      <c r="E470" s="44">
        <v>5</v>
      </c>
      <c r="F470" s="45">
        <v>7.860901355658651E-4</v>
      </c>
      <c r="G470" s="45">
        <v>3.9230824481299772E-3</v>
      </c>
      <c r="H470" s="46">
        <v>97380.375474177359</v>
      </c>
      <c r="I470" s="46">
        <v>382.03124181504245</v>
      </c>
      <c r="J470" s="46">
        <v>485989.10548603674</v>
      </c>
      <c r="K470" s="45">
        <v>0.99546389166860139</v>
      </c>
      <c r="L470" s="46">
        <v>5598470.4872828666</v>
      </c>
      <c r="M470" s="47">
        <v>57.490746570056402</v>
      </c>
      <c r="N470" s="48">
        <v>2.6107402093256771</v>
      </c>
      <c r="O470" s="45">
        <v>0.99607691755187</v>
      </c>
    </row>
    <row r="471" spans="1:15">
      <c r="A471" s="44">
        <v>2</v>
      </c>
      <c r="B471" s="44">
        <v>2000</v>
      </c>
      <c r="C471" s="44">
        <v>5</v>
      </c>
      <c r="D471" s="44">
        <v>30</v>
      </c>
      <c r="E471" s="44">
        <v>5</v>
      </c>
      <c r="F471" s="45">
        <v>1.0476322808224937E-3</v>
      </c>
      <c r="G471" s="45">
        <v>5.2251239388614755E-3</v>
      </c>
      <c r="H471" s="46">
        <v>96998.344232362317</v>
      </c>
      <c r="I471" s="46">
        <v>506.82837047844077</v>
      </c>
      <c r="J471" s="46">
        <v>483784.60625567258</v>
      </c>
      <c r="K471" s="45">
        <v>0.99396179095463266</v>
      </c>
      <c r="L471" s="46">
        <v>5112481.3817968294</v>
      </c>
      <c r="M471" s="47">
        <v>52.706893321289421</v>
      </c>
      <c r="N471" s="48">
        <v>2.6182964955187993</v>
      </c>
      <c r="O471" s="45">
        <v>0.99477487606113857</v>
      </c>
    </row>
    <row r="472" spans="1:15">
      <c r="A472" s="44">
        <v>2</v>
      </c>
      <c r="B472" s="44">
        <v>2000</v>
      </c>
      <c r="C472" s="44">
        <v>5</v>
      </c>
      <c r="D472" s="44">
        <v>35</v>
      </c>
      <c r="E472" s="44">
        <v>5</v>
      </c>
      <c r="F472" s="45">
        <v>1.4016017425587395E-3</v>
      </c>
      <c r="G472" s="45">
        <v>6.9848524247206898E-3</v>
      </c>
      <c r="H472" s="46">
        <v>96491.515861883876</v>
      </c>
      <c r="I472" s="46">
        <v>673.97899853285344</v>
      </c>
      <c r="J472" s="46">
        <v>480863.41367017012</v>
      </c>
      <c r="K472" s="45">
        <v>0.99158177380769863</v>
      </c>
      <c r="L472" s="46">
        <v>4628696.7755411565</v>
      </c>
      <c r="M472" s="47">
        <v>47.969987145466604</v>
      </c>
      <c r="N472" s="48">
        <v>2.6346953796490866</v>
      </c>
      <c r="O472" s="45">
        <v>0.99301514757527931</v>
      </c>
    </row>
    <row r="473" spans="1:15">
      <c r="A473" s="44">
        <v>2</v>
      </c>
      <c r="B473" s="44">
        <v>2000</v>
      </c>
      <c r="C473" s="44">
        <v>5</v>
      </c>
      <c r="D473" s="44">
        <v>40</v>
      </c>
      <c r="E473" s="44">
        <v>5</v>
      </c>
      <c r="F473" s="45">
        <v>2.0280738231020982E-3</v>
      </c>
      <c r="G473" s="45">
        <v>1.0092273879369406E-2</v>
      </c>
      <c r="H473" s="46">
        <v>95817.536863351022</v>
      </c>
      <c r="I473" s="46">
        <v>967.01682447151688</v>
      </c>
      <c r="J473" s="46">
        <v>476815.39668629243</v>
      </c>
      <c r="K473" s="45">
        <v>0.98779133215035286</v>
      </c>
      <c r="L473" s="46">
        <v>4147833.3618709859</v>
      </c>
      <c r="M473" s="47">
        <v>43.288874851650242</v>
      </c>
      <c r="N473" s="48">
        <v>2.6502087937254784</v>
      </c>
      <c r="O473" s="45">
        <v>0.9899077261206306</v>
      </c>
    </row>
    <row r="474" spans="1:15">
      <c r="A474" s="44">
        <v>2</v>
      </c>
      <c r="B474" s="44">
        <v>2000</v>
      </c>
      <c r="C474" s="44">
        <v>5</v>
      </c>
      <c r="D474" s="44">
        <v>45</v>
      </c>
      <c r="E474" s="44">
        <v>5</v>
      </c>
      <c r="F474" s="45">
        <v>2.9414381622429428E-3</v>
      </c>
      <c r="G474" s="45">
        <v>1.4606140968767839E-2</v>
      </c>
      <c r="H474" s="46">
        <v>94850.520038879506</v>
      </c>
      <c r="I474" s="46">
        <v>1385.4000666488137</v>
      </c>
      <c r="J474" s="46">
        <v>470994.11588255176</v>
      </c>
      <c r="K474" s="45">
        <v>0.98237635474485085</v>
      </c>
      <c r="L474" s="46">
        <v>3671017.9651846937</v>
      </c>
      <c r="M474" s="47">
        <v>38.703192809906923</v>
      </c>
      <c r="N474" s="48">
        <v>2.6479831419903244</v>
      </c>
      <c r="O474" s="45">
        <v>0.98539385903123211</v>
      </c>
    </row>
    <row r="475" spans="1:15">
      <c r="A475" s="44">
        <v>2</v>
      </c>
      <c r="B475" s="44">
        <v>2000</v>
      </c>
      <c r="C475" s="44">
        <v>5</v>
      </c>
      <c r="D475" s="44">
        <v>50</v>
      </c>
      <c r="E475" s="44">
        <v>5</v>
      </c>
      <c r="F475" s="45">
        <v>4.2495791315684765E-3</v>
      </c>
      <c r="G475" s="45">
        <v>2.1037287159514789E-2</v>
      </c>
      <c r="H475" s="46">
        <v>93465.119972230692</v>
      </c>
      <c r="I475" s="46">
        <v>1966.2525682543201</v>
      </c>
      <c r="J475" s="46">
        <v>462693.48266697506</v>
      </c>
      <c r="K475" s="45">
        <v>0.97472266557548592</v>
      </c>
      <c r="L475" s="46">
        <v>3200023.8493021419</v>
      </c>
      <c r="M475" s="47">
        <v>34.237626295808504</v>
      </c>
      <c r="N475" s="48">
        <v>2.6441901366257952</v>
      </c>
      <c r="O475" s="45">
        <v>0.97896271284048519</v>
      </c>
    </row>
    <row r="476" spans="1:15">
      <c r="A476" s="44">
        <v>2</v>
      </c>
      <c r="B476" s="44">
        <v>2000</v>
      </c>
      <c r="C476" s="44">
        <v>5</v>
      </c>
      <c r="D476" s="44">
        <v>55</v>
      </c>
      <c r="E476" s="44">
        <v>5</v>
      </c>
      <c r="F476" s="45">
        <v>6.1319148803758473E-3</v>
      </c>
      <c r="G476" s="45">
        <v>3.0224202235331867E-2</v>
      </c>
      <c r="H476" s="46">
        <v>91498.867403976372</v>
      </c>
      <c r="I476" s="46">
        <v>2765.4802727216011</v>
      </c>
      <c r="J476" s="46">
        <v>450997.82476955885</v>
      </c>
      <c r="K476" s="45">
        <v>0.96258947661946559</v>
      </c>
      <c r="L476" s="46">
        <v>2737330.366635167</v>
      </c>
      <c r="M476" s="47">
        <v>29.916549180325784</v>
      </c>
      <c r="N476" s="48">
        <v>2.6508556888277539</v>
      </c>
      <c r="O476" s="45">
        <v>0.96977579776466816</v>
      </c>
    </row>
    <row r="477" spans="1:15">
      <c r="A477" s="44">
        <v>2</v>
      </c>
      <c r="B477" s="44">
        <v>2000</v>
      </c>
      <c r="C477" s="44">
        <v>5</v>
      </c>
      <c r="D477" s="44">
        <v>60</v>
      </c>
      <c r="E477" s="44">
        <v>5</v>
      </c>
      <c r="F477" s="45">
        <v>9.320780831047773E-3</v>
      </c>
      <c r="G477" s="45">
        <v>4.5601674790484166E-2</v>
      </c>
      <c r="H477" s="46">
        <v>88733.387131254771</v>
      </c>
      <c r="I477" s="46">
        <v>4046.3910630176251</v>
      </c>
      <c r="J477" s="46">
        <v>434125.76010144711</v>
      </c>
      <c r="K477" s="45">
        <v>0.94561935365038707</v>
      </c>
      <c r="L477" s="46">
        <v>2286332.5418656082</v>
      </c>
      <c r="M477" s="47">
        <v>25.766316555499635</v>
      </c>
      <c r="N477" s="48">
        <v>2.642053027936615</v>
      </c>
      <c r="O477" s="45">
        <v>0.95439832520951584</v>
      </c>
    </row>
    <row r="478" spans="1:15">
      <c r="A478" s="44">
        <v>2</v>
      </c>
      <c r="B478" s="44">
        <v>2000</v>
      </c>
      <c r="C478" s="44">
        <v>5</v>
      </c>
      <c r="D478" s="44">
        <v>65</v>
      </c>
      <c r="E478" s="44">
        <v>5</v>
      </c>
      <c r="F478" s="45">
        <v>1.3310715960098382E-2</v>
      </c>
      <c r="G478" s="45">
        <v>6.4523303814247965E-2</v>
      </c>
      <c r="H478" s="46">
        <v>84686.996068237146</v>
      </c>
      <c r="I478" s="46">
        <v>5464.2847764268809</v>
      </c>
      <c r="J478" s="46">
        <v>410517.7206701134</v>
      </c>
      <c r="K478" s="45">
        <v>0.92018158348301349</v>
      </c>
      <c r="L478" s="46">
        <v>1852206.7817641611</v>
      </c>
      <c r="M478" s="47">
        <v>21.87120653413816</v>
      </c>
      <c r="N478" s="48">
        <v>2.6360566479262157</v>
      </c>
      <c r="O478" s="45">
        <v>0.93547669618575202</v>
      </c>
    </row>
    <row r="479" spans="1:15">
      <c r="A479" s="44">
        <v>2</v>
      </c>
      <c r="B479" s="44">
        <v>2000</v>
      </c>
      <c r="C479" s="44">
        <v>5</v>
      </c>
      <c r="D479" s="44">
        <v>70</v>
      </c>
      <c r="E479" s="44">
        <v>5</v>
      </c>
      <c r="F479" s="45">
        <v>2.0459053019906991E-2</v>
      </c>
      <c r="G479" s="45">
        <v>9.7553144367397204E-2</v>
      </c>
      <c r="H479" s="46">
        <v>79222.711291810265</v>
      </c>
      <c r="I479" s="46">
        <v>7728.4245918265951</v>
      </c>
      <c r="J479" s="46">
        <v>377750.84625406237</v>
      </c>
      <c r="K479" s="45">
        <v>0.8834908941905093</v>
      </c>
      <c r="L479" s="46">
        <v>1441689.0610940477</v>
      </c>
      <c r="M479" s="47">
        <v>18.197926296459435</v>
      </c>
      <c r="N479" s="48">
        <v>2.6240034450994125</v>
      </c>
      <c r="O479" s="45">
        <v>0.90244685563260285</v>
      </c>
    </row>
    <row r="480" spans="1:15">
      <c r="A480" s="44">
        <v>2</v>
      </c>
      <c r="B480" s="44">
        <v>2000</v>
      </c>
      <c r="C480" s="44">
        <v>5</v>
      </c>
      <c r="D480" s="44">
        <v>75</v>
      </c>
      <c r="E480" s="44">
        <v>5</v>
      </c>
      <c r="F480" s="45">
        <v>2.9617828339401464E-2</v>
      </c>
      <c r="G480" s="45">
        <v>0.13825772227553032</v>
      </c>
      <c r="H480" s="46">
        <v>71494.28669998367</v>
      </c>
      <c r="I480" s="46">
        <v>9884.6372348534933</v>
      </c>
      <c r="J480" s="46">
        <v>333739.43293822318</v>
      </c>
      <c r="K480" s="45">
        <v>0.83364638831923232</v>
      </c>
      <c r="L480" s="46">
        <v>1063938.2148399854</v>
      </c>
      <c r="M480" s="47">
        <v>14.88144387403516</v>
      </c>
      <c r="N480" s="48">
        <v>2.5991025266951144</v>
      </c>
      <c r="O480" s="45">
        <v>0.86174227772446965</v>
      </c>
    </row>
    <row r="481" spans="1:15">
      <c r="A481" s="44">
        <v>2</v>
      </c>
      <c r="B481" s="44">
        <v>2000</v>
      </c>
      <c r="C481" s="44">
        <v>5</v>
      </c>
      <c r="D481" s="44">
        <v>80</v>
      </c>
      <c r="E481" s="44">
        <v>5</v>
      </c>
      <c r="F481" s="45">
        <v>4.4269497085776127E-2</v>
      </c>
      <c r="G481" s="45">
        <v>0.19991493825173481</v>
      </c>
      <c r="H481" s="46">
        <v>61609.649465130176</v>
      </c>
      <c r="I481" s="46">
        <v>12316.689268532522</v>
      </c>
      <c r="J481" s="46">
        <v>278220.67290865839</v>
      </c>
      <c r="K481" s="45">
        <v>0.76027370689599527</v>
      </c>
      <c r="L481" s="46">
        <v>730198.78190176212</v>
      </c>
      <c r="M481" s="47">
        <v>11.852019744326576</v>
      </c>
      <c r="N481" s="48">
        <v>2.5782798634696484</v>
      </c>
      <c r="O481" s="45">
        <v>0.80008506174826521</v>
      </c>
    </row>
    <row r="482" spans="1:15">
      <c r="A482" s="44">
        <v>2</v>
      </c>
      <c r="B482" s="44">
        <v>2000</v>
      </c>
      <c r="C482" s="44">
        <v>5</v>
      </c>
      <c r="D482" s="44">
        <v>85</v>
      </c>
      <c r="E482" s="44">
        <v>5</v>
      </c>
      <c r="F482" s="45">
        <v>6.7142337367957217E-2</v>
      </c>
      <c r="G482" s="45">
        <v>0.28811835339394942</v>
      </c>
      <c r="H482" s="46">
        <v>49292.960196597654</v>
      </c>
      <c r="I482" s="46">
        <v>14202.20652575721</v>
      </c>
      <c r="J482" s="46">
        <v>211523.86232736392</v>
      </c>
      <c r="K482" s="45">
        <v>0.65575369097911096</v>
      </c>
      <c r="L482" s="46">
        <v>451978.10899310379</v>
      </c>
      <c r="M482" s="47">
        <v>9.1692222822580796</v>
      </c>
      <c r="N482" s="48">
        <v>2.5397528128988092</v>
      </c>
      <c r="O482" s="45">
        <v>0.71188164660605058</v>
      </c>
    </row>
    <row r="483" spans="1:15">
      <c r="A483" s="44">
        <v>2</v>
      </c>
      <c r="B483" s="44">
        <v>2000</v>
      </c>
      <c r="C483" s="44">
        <v>5</v>
      </c>
      <c r="D483" s="44">
        <v>90</v>
      </c>
      <c r="E483" s="44">
        <v>5</v>
      </c>
      <c r="F483" s="45">
        <v>0.10485021020000863</v>
      </c>
      <c r="G483" s="45">
        <v>0.41445436801164492</v>
      </c>
      <c r="H483" s="46">
        <v>35090.753670840444</v>
      </c>
      <c r="I483" s="46">
        <v>14543.516135700484</v>
      </c>
      <c r="J483" s="46">
        <v>138707.55345132621</v>
      </c>
      <c r="K483" s="45">
        <v>0.51211478020915802</v>
      </c>
      <c r="L483" s="46">
        <v>240454.24666573986</v>
      </c>
      <c r="M483" s="47">
        <v>6.8523534410590745</v>
      </c>
      <c r="N483" s="48">
        <v>2.4733610111880862</v>
      </c>
      <c r="O483" s="45">
        <v>0.58554563198835508</v>
      </c>
    </row>
    <row r="484" spans="1:15">
      <c r="A484" s="44">
        <v>2</v>
      </c>
      <c r="B484" s="44">
        <v>2000</v>
      </c>
      <c r="C484" s="44">
        <v>5</v>
      </c>
      <c r="D484" s="44">
        <v>95</v>
      </c>
      <c r="E484" s="44">
        <v>5</v>
      </c>
      <c r="F484" s="45">
        <v>0.16858663298208162</v>
      </c>
      <c r="G484" s="45">
        <v>0.58282358409721335</v>
      </c>
      <c r="H484" s="46">
        <v>20547.237535139961</v>
      </c>
      <c r="I484" s="46">
        <v>11975.414623527064</v>
      </c>
      <c r="J484" s="46">
        <v>71034.18824907596</v>
      </c>
      <c r="K484" s="45">
        <v>0.30185261058672802</v>
      </c>
      <c r="L484" s="46">
        <v>101746.69321441364</v>
      </c>
      <c r="M484" s="47">
        <v>4.9518429443571703</v>
      </c>
      <c r="N484" s="48">
        <v>2.3527430637481515</v>
      </c>
      <c r="O484" s="45">
        <v>0.41717641590278665</v>
      </c>
    </row>
    <row r="485" spans="1:15">
      <c r="A485" s="44">
        <v>2</v>
      </c>
      <c r="B485" s="44">
        <v>2000</v>
      </c>
      <c r="C485" s="44">
        <v>5</v>
      </c>
      <c r="D485" s="44">
        <v>100</v>
      </c>
      <c r="E485" s="44">
        <v>0</v>
      </c>
      <c r="F485" s="45">
        <v>0.27909878797861354</v>
      </c>
      <c r="G485" s="45">
        <v>1</v>
      </c>
      <c r="H485" s="46">
        <v>8571.8229116128969</v>
      </c>
      <c r="I485" s="46">
        <v>8571.8229116128969</v>
      </c>
      <c r="J485" s="46">
        <v>30712.504965337681</v>
      </c>
      <c r="K485" s="45">
        <v>0</v>
      </c>
      <c r="L485" s="46">
        <v>30712.504965337681</v>
      </c>
      <c r="M485" s="47">
        <v>3.582960740326206</v>
      </c>
      <c r="N485" s="48">
        <v>3.582960740326206</v>
      </c>
      <c r="O485" s="45">
        <v>0</v>
      </c>
    </row>
    <row r="486" spans="1:15">
      <c r="A486" s="39">
        <v>1</v>
      </c>
      <c r="B486" s="39">
        <v>2005</v>
      </c>
      <c r="C486" s="39">
        <v>5</v>
      </c>
      <c r="D486" s="39">
        <v>0</v>
      </c>
      <c r="E486" s="39">
        <v>1</v>
      </c>
      <c r="F486" s="40">
        <v>1.406421305389554E-2</v>
      </c>
      <c r="G486" s="40">
        <v>1.388508953028213E-2</v>
      </c>
      <c r="H486" s="41">
        <v>100000</v>
      </c>
      <c r="I486" s="41">
        <v>1388.508953028213</v>
      </c>
      <c r="J486" s="41">
        <v>98726.38786879128</v>
      </c>
      <c r="K486" s="40">
        <v>0.98510408532360338</v>
      </c>
      <c r="L486" s="41">
        <v>7463090.2932896558</v>
      </c>
      <c r="M486" s="42">
        <v>74.630902932896561</v>
      </c>
      <c r="N486" s="43">
        <v>8.2748347836655634E-2</v>
      </c>
      <c r="O486" s="40">
        <v>0.98611491046971789</v>
      </c>
    </row>
    <row r="487" spans="1:15">
      <c r="A487" s="39">
        <v>1</v>
      </c>
      <c r="B487" s="39">
        <v>2005</v>
      </c>
      <c r="C487" s="39">
        <v>5</v>
      </c>
      <c r="D487" s="39">
        <v>1</v>
      </c>
      <c r="E487" s="39">
        <v>4</v>
      </c>
      <c r="F487" s="40">
        <v>6.5941686452931989E-4</v>
      </c>
      <c r="G487" s="40">
        <v>2.633519437720536E-3</v>
      </c>
      <c r="H487" s="41">
        <v>98611.491046971787</v>
      </c>
      <c r="I487" s="41">
        <v>259.69527845480479</v>
      </c>
      <c r="J487" s="41">
        <v>393825.65479301044</v>
      </c>
      <c r="K487" s="40">
        <v>0.99753933087912772</v>
      </c>
      <c r="L487" s="41">
        <v>7364363.9054208649</v>
      </c>
      <c r="M487" s="42">
        <v>74.680585672444451</v>
      </c>
      <c r="N487" s="43">
        <v>1.6113951760402301</v>
      </c>
      <c r="O487" s="40">
        <v>0.9973664805622795</v>
      </c>
    </row>
    <row r="488" spans="1:15">
      <c r="A488" s="39">
        <v>1</v>
      </c>
      <c r="B488" s="39">
        <v>2005</v>
      </c>
      <c r="C488" s="39">
        <v>5</v>
      </c>
      <c r="D488" s="39">
        <v>5</v>
      </c>
      <c r="E488" s="39">
        <v>5</v>
      </c>
      <c r="F488" s="40">
        <v>3.4106219944604968E-4</v>
      </c>
      <c r="G488" s="40">
        <v>1.7038581931729791E-3</v>
      </c>
      <c r="H488" s="41">
        <v>98351.795768516982</v>
      </c>
      <c r="I488" s="41">
        <v>167.57751303346595</v>
      </c>
      <c r="J488" s="41">
        <v>491340.03506000125</v>
      </c>
      <c r="K488" s="40">
        <v>0.99807107048082733</v>
      </c>
      <c r="L488" s="41">
        <v>6970538.2506278548</v>
      </c>
      <c r="M488" s="42">
        <v>70.873522909880279</v>
      </c>
      <c r="N488" s="43">
        <v>2.5</v>
      </c>
      <c r="O488" s="40">
        <v>0.99829614180682702</v>
      </c>
    </row>
    <row r="489" spans="1:15">
      <c r="A489" s="39">
        <v>1</v>
      </c>
      <c r="B489" s="39">
        <v>2005</v>
      </c>
      <c r="C489" s="39">
        <v>5</v>
      </c>
      <c r="D489" s="39">
        <v>10</v>
      </c>
      <c r="E489" s="39">
        <v>5</v>
      </c>
      <c r="F489" s="40">
        <v>4.3134163583727217E-4</v>
      </c>
      <c r="G489" s="40">
        <v>2.1543849893225667E-3</v>
      </c>
      <c r="H489" s="41">
        <v>98184.218255483516</v>
      </c>
      <c r="I489" s="41">
        <v>211.52660599797673</v>
      </c>
      <c r="J489" s="41">
        <v>490392.27476242266</v>
      </c>
      <c r="K489" s="40">
        <v>0.99542196474243283</v>
      </c>
      <c r="L489" s="41">
        <v>6479198.2155678533</v>
      </c>
      <c r="M489" s="42">
        <v>65.990220533288152</v>
      </c>
      <c r="N489" s="43">
        <v>2.5</v>
      </c>
      <c r="O489" s="40">
        <v>0.99784561501067748</v>
      </c>
    </row>
    <row r="490" spans="1:15">
      <c r="A490" s="39">
        <v>1</v>
      </c>
      <c r="B490" s="39">
        <v>2005</v>
      </c>
      <c r="C490" s="39">
        <v>5</v>
      </c>
      <c r="D490" s="39">
        <v>15</v>
      </c>
      <c r="E490" s="39">
        <v>5</v>
      </c>
      <c r="F490" s="40">
        <v>1.6455779298365147E-3</v>
      </c>
      <c r="G490" s="40">
        <v>8.1990635740091123E-3</v>
      </c>
      <c r="H490" s="41">
        <v>97972.69164948554</v>
      </c>
      <c r="I490" s="41">
        <v>803.2843273509352</v>
      </c>
      <c r="J490" s="41">
        <v>488147.24163852172</v>
      </c>
      <c r="K490" s="40">
        <v>0.98930616128971338</v>
      </c>
      <c r="L490" s="41">
        <v>5988805.9408054305</v>
      </c>
      <c r="M490" s="42">
        <v>61.127298229504937</v>
      </c>
      <c r="N490" s="43">
        <v>2.8635004437772604</v>
      </c>
      <c r="O490" s="40">
        <v>0.99180093642599088</v>
      </c>
    </row>
    <row r="491" spans="1:15">
      <c r="A491" s="39">
        <v>1</v>
      </c>
      <c r="B491" s="39">
        <v>2005</v>
      </c>
      <c r="C491" s="39">
        <v>5</v>
      </c>
      <c r="D491" s="39">
        <v>20</v>
      </c>
      <c r="E491" s="39">
        <v>5</v>
      </c>
      <c r="F491" s="40">
        <v>2.5103020012225844E-3</v>
      </c>
      <c r="G491" s="40">
        <v>1.2476074858719041E-2</v>
      </c>
      <c r="H491" s="41">
        <v>97169.407322134604</v>
      </c>
      <c r="I491" s="41">
        <v>1212.2927997283114</v>
      </c>
      <c r="J491" s="41">
        <v>482927.07376956806</v>
      </c>
      <c r="K491" s="40">
        <v>0.98709111866136134</v>
      </c>
      <c r="L491" s="41">
        <v>5500658.6991669089</v>
      </c>
      <c r="M491" s="42">
        <v>56.608955953916698</v>
      </c>
      <c r="N491" s="43">
        <v>2.5913716209818616</v>
      </c>
      <c r="O491" s="40">
        <v>0.98752392514128096</v>
      </c>
    </row>
    <row r="492" spans="1:15">
      <c r="A492" s="39">
        <v>1</v>
      </c>
      <c r="B492" s="39">
        <v>2005</v>
      </c>
      <c r="C492" s="39">
        <v>5</v>
      </c>
      <c r="D492" s="39">
        <v>25</v>
      </c>
      <c r="E492" s="39">
        <v>5</v>
      </c>
      <c r="F492" s="40">
        <v>2.6163453734504571E-3</v>
      </c>
      <c r="G492" s="40">
        <v>1.2997406163948559E-2</v>
      </c>
      <c r="H492" s="41">
        <v>95957.114522406293</v>
      </c>
      <c r="I492" s="41">
        <v>1247.1935917682276</v>
      </c>
      <c r="J492" s="41">
        <v>476693.02547906071</v>
      </c>
      <c r="K492" s="40">
        <v>0.98650608680736007</v>
      </c>
      <c r="L492" s="41">
        <v>5017731.6253973404</v>
      </c>
      <c r="M492" s="42">
        <v>52.291397572461229</v>
      </c>
      <c r="N492" s="43">
        <v>2.5203952671162657</v>
      </c>
      <c r="O492" s="40">
        <v>0.98700259383605149</v>
      </c>
    </row>
    <row r="493" spans="1:15">
      <c r="A493" s="39">
        <v>1</v>
      </c>
      <c r="B493" s="39">
        <v>2005</v>
      </c>
      <c r="C493" s="39">
        <v>5</v>
      </c>
      <c r="D493" s="39">
        <v>30</v>
      </c>
      <c r="E493" s="39">
        <v>5</v>
      </c>
      <c r="F493" s="40">
        <v>2.8418743049159517E-3</v>
      </c>
      <c r="G493" s="40">
        <v>1.4110680493677193E-2</v>
      </c>
      <c r="H493" s="41">
        <v>94709.920930638065</v>
      </c>
      <c r="I493" s="41">
        <v>1336.4214338336751</v>
      </c>
      <c r="J493" s="41">
        <v>470260.57117370935</v>
      </c>
      <c r="K493" s="40">
        <v>0.98502411254817079</v>
      </c>
      <c r="L493" s="41">
        <v>4541038.5999182798</v>
      </c>
      <c r="M493" s="42">
        <v>47.946810168324006</v>
      </c>
      <c r="N493" s="43">
        <v>2.538924925765377</v>
      </c>
      <c r="O493" s="40">
        <v>0.98588931950632286</v>
      </c>
    </row>
    <row r="494" spans="1:15">
      <c r="A494" s="39">
        <v>1</v>
      </c>
      <c r="B494" s="39">
        <v>2005</v>
      </c>
      <c r="C494" s="39">
        <v>5</v>
      </c>
      <c r="D494" s="39">
        <v>35</v>
      </c>
      <c r="E494" s="39">
        <v>5</v>
      </c>
      <c r="F494" s="40">
        <v>3.2447452286248914E-3</v>
      </c>
      <c r="G494" s="40">
        <v>1.6096905537552941E-2</v>
      </c>
      <c r="H494" s="41">
        <v>93373.49949680439</v>
      </c>
      <c r="I494" s="41">
        <v>1503.0244011108007</v>
      </c>
      <c r="J494" s="41">
        <v>463218.00178677897</v>
      </c>
      <c r="K494" s="40">
        <v>0.98189069410946395</v>
      </c>
      <c r="L494" s="41">
        <v>4070778.0287445709</v>
      </c>
      <c r="M494" s="42">
        <v>43.596716955905556</v>
      </c>
      <c r="N494" s="43">
        <v>2.5718985702788126</v>
      </c>
      <c r="O494" s="40">
        <v>0.98390309446244706</v>
      </c>
    </row>
    <row r="495" spans="1:15">
      <c r="A495" s="39">
        <v>1</v>
      </c>
      <c r="B495" s="39">
        <v>2005</v>
      </c>
      <c r="C495" s="39">
        <v>5</v>
      </c>
      <c r="D495" s="39">
        <v>40</v>
      </c>
      <c r="E495" s="39">
        <v>5</v>
      </c>
      <c r="F495" s="40">
        <v>4.1455040711362726E-3</v>
      </c>
      <c r="G495" s="40">
        <v>2.0523430571065288E-2</v>
      </c>
      <c r="H495" s="41">
        <v>91870.47509569359</v>
      </c>
      <c r="I495" s="41">
        <v>1885.4973171572492</v>
      </c>
      <c r="J495" s="41">
        <v>454829.44529841933</v>
      </c>
      <c r="K495" s="40">
        <v>0.97639003053886442</v>
      </c>
      <c r="L495" s="41">
        <v>3607560.0269577918</v>
      </c>
      <c r="M495" s="42">
        <v>39.267893446726013</v>
      </c>
      <c r="N495" s="43">
        <v>2.6012004159900748</v>
      </c>
      <c r="O495" s="40">
        <v>0.97947656942893468</v>
      </c>
    </row>
    <row r="496" spans="1:15">
      <c r="A496" s="39">
        <v>1</v>
      </c>
      <c r="B496" s="39">
        <v>2005</v>
      </c>
      <c r="C496" s="39">
        <v>5</v>
      </c>
      <c r="D496" s="39">
        <v>45</v>
      </c>
      <c r="E496" s="39">
        <v>5</v>
      </c>
      <c r="F496" s="40">
        <v>5.497282463340524E-3</v>
      </c>
      <c r="G496" s="40">
        <v>2.7130009639237482E-2</v>
      </c>
      <c r="H496" s="41">
        <v>89984.97777853634</v>
      </c>
      <c r="I496" s="41">
        <v>2441.293314518276</v>
      </c>
      <c r="J496" s="41">
        <v>444090.93598489842</v>
      </c>
      <c r="K496" s="40">
        <v>0.96847028588060169</v>
      </c>
      <c r="L496" s="41">
        <v>3152730.5816593724</v>
      </c>
      <c r="M496" s="42">
        <v>35.036187811465766</v>
      </c>
      <c r="N496" s="43">
        <v>2.610302345445751</v>
      </c>
      <c r="O496" s="40">
        <v>0.97286999036076249</v>
      </c>
    </row>
    <row r="497" spans="1:15">
      <c r="A497" s="39">
        <v>1</v>
      </c>
      <c r="B497" s="39">
        <v>2005</v>
      </c>
      <c r="C497" s="39">
        <v>5</v>
      </c>
      <c r="D497" s="39">
        <v>50</v>
      </c>
      <c r="E497" s="39">
        <v>5</v>
      </c>
      <c r="F497" s="40">
        <v>7.4368581903088548E-3</v>
      </c>
      <c r="G497" s="40">
        <v>3.6536159034408593E-2</v>
      </c>
      <c r="H497" s="41">
        <v>87543.684464018064</v>
      </c>
      <c r="I497" s="41">
        <v>3198.5099780354358</v>
      </c>
      <c r="J497" s="41">
        <v>430088.87573027855</v>
      </c>
      <c r="K497" s="40">
        <v>0.95718303008302086</v>
      </c>
      <c r="L497" s="41">
        <v>2708639.6456744741</v>
      </c>
      <c r="M497" s="42">
        <v>30.940434621389173</v>
      </c>
      <c r="N497" s="43">
        <v>2.6146559985102997</v>
      </c>
      <c r="O497" s="40">
        <v>0.96346384096559146</v>
      </c>
    </row>
    <row r="498" spans="1:15">
      <c r="A498" s="39">
        <v>1</v>
      </c>
      <c r="B498" s="39">
        <v>2005</v>
      </c>
      <c r="C498" s="39">
        <v>5</v>
      </c>
      <c r="D498" s="39">
        <v>55</v>
      </c>
      <c r="E498" s="39">
        <v>5</v>
      </c>
      <c r="F498" s="40">
        <v>1.0267373509917568E-2</v>
      </c>
      <c r="G498" s="40">
        <v>5.0113221298386003E-2</v>
      </c>
      <c r="H498" s="41">
        <v>84345.174485982629</v>
      </c>
      <c r="I498" s="41">
        <v>4226.8083944670361</v>
      </c>
      <c r="J498" s="41">
        <v>411673.77327650785</v>
      </c>
      <c r="K498" s="40">
        <v>0.93980552823824259</v>
      </c>
      <c r="L498" s="41">
        <v>2278550.7699441956</v>
      </c>
      <c r="M498" s="42">
        <v>27.014595486110107</v>
      </c>
      <c r="N498" s="43">
        <v>2.6218228471005149</v>
      </c>
      <c r="O498" s="40">
        <v>0.94988677870161398</v>
      </c>
    </row>
    <row r="499" spans="1:15">
      <c r="A499" s="39">
        <v>1</v>
      </c>
      <c r="B499" s="39">
        <v>2005</v>
      </c>
      <c r="C499" s="39">
        <v>5</v>
      </c>
      <c r="D499" s="39">
        <v>60</v>
      </c>
      <c r="E499" s="39">
        <v>5</v>
      </c>
      <c r="F499" s="40">
        <v>1.4788825689077632E-2</v>
      </c>
      <c r="G499" s="40">
        <v>7.1415552700103233E-2</v>
      </c>
      <c r="H499" s="41">
        <v>80118.366091515592</v>
      </c>
      <c r="I499" s="41">
        <v>5721.6973958548042</v>
      </c>
      <c r="J499" s="41">
        <v>386893.28795595898</v>
      </c>
      <c r="K499" s="40">
        <v>0.91792445327716599</v>
      </c>
      <c r="L499" s="41">
        <v>1866876.9966676878</v>
      </c>
      <c r="M499" s="42">
        <v>23.301486135341783</v>
      </c>
      <c r="N499" s="43">
        <v>2.6058603673198126</v>
      </c>
      <c r="O499" s="40">
        <v>0.92858444729989675</v>
      </c>
    </row>
    <row r="500" spans="1:15">
      <c r="A500" s="39">
        <v>1</v>
      </c>
      <c r="B500" s="39">
        <v>2005</v>
      </c>
      <c r="C500" s="39">
        <v>5</v>
      </c>
      <c r="D500" s="39">
        <v>65</v>
      </c>
      <c r="E500" s="39">
        <v>5</v>
      </c>
      <c r="F500" s="40">
        <v>1.9786289875628704E-2</v>
      </c>
      <c r="G500" s="40">
        <v>9.4451533387878026E-2</v>
      </c>
      <c r="H500" s="41">
        <v>74396.668695660788</v>
      </c>
      <c r="I500" s="41">
        <v>7026.8794372551056</v>
      </c>
      <c r="J500" s="41">
        <v>355138.80982357881</v>
      </c>
      <c r="K500" s="40">
        <v>0.8851163868873555</v>
      </c>
      <c r="L500" s="41">
        <v>1479983.7087117289</v>
      </c>
      <c r="M500" s="42">
        <v>19.893144876768513</v>
      </c>
      <c r="N500" s="43">
        <v>2.602842939723883</v>
      </c>
      <c r="O500" s="40">
        <v>0.90554846661212196</v>
      </c>
    </row>
    <row r="501" spans="1:15">
      <c r="A501" s="39">
        <v>1</v>
      </c>
      <c r="B501" s="39">
        <v>2005</v>
      </c>
      <c r="C501" s="39">
        <v>5</v>
      </c>
      <c r="D501" s="39">
        <v>70</v>
      </c>
      <c r="E501" s="39">
        <v>5</v>
      </c>
      <c r="F501" s="40">
        <v>2.9529237789302044E-2</v>
      </c>
      <c r="G501" s="40">
        <v>0.13777980457761579</v>
      </c>
      <c r="H501" s="41">
        <v>67369.789258405683</v>
      </c>
      <c r="I501" s="41">
        <v>9282.1963984582908</v>
      </c>
      <c r="J501" s="41">
        <v>314339.18019452173</v>
      </c>
      <c r="K501" s="40">
        <v>0.84474643746462019</v>
      </c>
      <c r="L501" s="41">
        <v>1124844.89888815</v>
      </c>
      <c r="M501" s="42">
        <v>16.696577371997698</v>
      </c>
      <c r="N501" s="43">
        <v>2.5749526156066458</v>
      </c>
      <c r="O501" s="40">
        <v>0.86222019542238426</v>
      </c>
    </row>
    <row r="502" spans="1:15">
      <c r="A502" s="39">
        <v>1</v>
      </c>
      <c r="B502" s="39">
        <v>2005</v>
      </c>
      <c r="C502" s="39">
        <v>5</v>
      </c>
      <c r="D502" s="39">
        <v>75</v>
      </c>
      <c r="E502" s="39">
        <v>5</v>
      </c>
      <c r="F502" s="40">
        <v>3.8093901364266901E-2</v>
      </c>
      <c r="G502" s="40">
        <v>0.17413936572571484</v>
      </c>
      <c r="H502" s="41">
        <v>58087.592859947392</v>
      </c>
      <c r="I502" s="41">
        <v>10115.336577164802</v>
      </c>
      <c r="J502" s="41">
        <v>265536.90262487152</v>
      </c>
      <c r="K502" s="40">
        <v>0.80045371285140254</v>
      </c>
      <c r="L502" s="41">
        <v>810505.71869362821</v>
      </c>
      <c r="M502" s="42">
        <v>13.953164157581899</v>
      </c>
      <c r="N502" s="43">
        <v>2.5382863946337522</v>
      </c>
      <c r="O502" s="40">
        <v>0.82586063427428513</v>
      </c>
    </row>
    <row r="503" spans="1:15">
      <c r="A503" s="39">
        <v>1</v>
      </c>
      <c r="B503" s="39">
        <v>2005</v>
      </c>
      <c r="C503" s="39">
        <v>5</v>
      </c>
      <c r="D503" s="39">
        <v>80</v>
      </c>
      <c r="E503" s="39">
        <v>5</v>
      </c>
      <c r="F503" s="40">
        <v>5.1940279732499463E-2</v>
      </c>
      <c r="G503" s="40">
        <v>0.2301310651630924</v>
      </c>
      <c r="H503" s="41">
        <v>47972.25628278259</v>
      </c>
      <c r="I503" s="41">
        <v>11039.90643663361</v>
      </c>
      <c r="J503" s="41">
        <v>212549.99960513975</v>
      </c>
      <c r="K503" s="40">
        <v>0.73527407324662042</v>
      </c>
      <c r="L503" s="41">
        <v>544968.81606875674</v>
      </c>
      <c r="M503" s="42">
        <v>11.360083062516864</v>
      </c>
      <c r="N503" s="43">
        <v>2.5261310441774705</v>
      </c>
      <c r="O503" s="40">
        <v>0.76986893483690766</v>
      </c>
    </row>
    <row r="504" spans="1:15">
      <c r="A504" s="39">
        <v>1</v>
      </c>
      <c r="B504" s="39">
        <v>2005</v>
      </c>
      <c r="C504" s="39">
        <v>5</v>
      </c>
      <c r="D504" s="39">
        <v>85</v>
      </c>
      <c r="E504" s="39">
        <v>5</v>
      </c>
      <c r="F504" s="40">
        <v>7.2594271192113924E-2</v>
      </c>
      <c r="G504" s="40">
        <v>0.30718907742508222</v>
      </c>
      <c r="H504" s="41">
        <v>36932.34984614898</v>
      </c>
      <c r="I504" s="41">
        <v>11345.214476378882</v>
      </c>
      <c r="J504" s="41">
        <v>156282.50397823867</v>
      </c>
      <c r="K504" s="40">
        <v>0.64355040433797372</v>
      </c>
      <c r="L504" s="41">
        <v>332418.81646361703</v>
      </c>
      <c r="M504" s="42">
        <v>9.0007491494148475</v>
      </c>
      <c r="N504" s="43">
        <v>2.4985712864580245</v>
      </c>
      <c r="O504" s="40">
        <v>0.69281092257491772</v>
      </c>
    </row>
    <row r="505" spans="1:15">
      <c r="A505" s="39">
        <v>1</v>
      </c>
      <c r="B505" s="39">
        <v>2005</v>
      </c>
      <c r="C505" s="39">
        <v>5</v>
      </c>
      <c r="D505" s="39">
        <v>90</v>
      </c>
      <c r="E505" s="39">
        <v>5</v>
      </c>
      <c r="F505" s="40">
        <v>0.10661023058304903</v>
      </c>
      <c r="G505" s="40">
        <v>0.41905414843530209</v>
      </c>
      <c r="H505" s="41">
        <v>25587.135369770098</v>
      </c>
      <c r="I505" s="41">
        <v>10722.395223277807</v>
      </c>
      <c r="J505" s="41">
        <v>100575.66862614648</v>
      </c>
      <c r="K505" s="40">
        <v>0.51453046579851591</v>
      </c>
      <c r="L505" s="41">
        <v>176136.31248537835</v>
      </c>
      <c r="M505" s="42">
        <v>6.8837839773761651</v>
      </c>
      <c r="N505" s="43">
        <v>2.4483305592665769</v>
      </c>
      <c r="O505" s="40">
        <v>0.58094585156469791</v>
      </c>
    </row>
    <row r="506" spans="1:15">
      <c r="A506" s="39">
        <v>1</v>
      </c>
      <c r="B506" s="39">
        <v>2005</v>
      </c>
      <c r="C506" s="39">
        <v>5</v>
      </c>
      <c r="D506" s="39">
        <v>95</v>
      </c>
      <c r="E506" s="39">
        <v>5</v>
      </c>
      <c r="F506" s="40">
        <v>0.16451059901431922</v>
      </c>
      <c r="G506" s="40">
        <v>0.57271767367662985</v>
      </c>
      <c r="H506" s="41">
        <v>14864.740146492291</v>
      </c>
      <c r="I506" s="41">
        <v>8513.2993965066707</v>
      </c>
      <c r="J506" s="41">
        <v>51749.245626208336</v>
      </c>
      <c r="K506" s="40">
        <v>0.31512963649944215</v>
      </c>
      <c r="L506" s="41">
        <v>75560.643859231888</v>
      </c>
      <c r="M506" s="42">
        <v>5.0832132357902209</v>
      </c>
      <c r="N506" s="43">
        <v>2.348330646574432</v>
      </c>
      <c r="O506" s="40">
        <v>0.42728232632337015</v>
      </c>
    </row>
    <row r="507" spans="1:15">
      <c r="A507" s="39">
        <v>1</v>
      </c>
      <c r="B507" s="39">
        <v>2005</v>
      </c>
      <c r="C507" s="39">
        <v>5</v>
      </c>
      <c r="D507" s="39">
        <v>100</v>
      </c>
      <c r="E507" s="39">
        <v>0</v>
      </c>
      <c r="F507" s="40">
        <v>0.26673951222137537</v>
      </c>
      <c r="G507" s="40">
        <v>1</v>
      </c>
      <c r="H507" s="41">
        <v>6351.4407499856206</v>
      </c>
      <c r="I507" s="41">
        <v>6351.4407499856206</v>
      </c>
      <c r="J507" s="41">
        <v>23811.398233023549</v>
      </c>
      <c r="K507" s="40">
        <v>0</v>
      </c>
      <c r="L507" s="41">
        <v>23811.398233023549</v>
      </c>
      <c r="M507" s="42">
        <v>3.7489758891441216</v>
      </c>
      <c r="N507" s="43">
        <v>3.7489758891441216</v>
      </c>
      <c r="O507" s="40">
        <v>0</v>
      </c>
    </row>
    <row r="508" spans="1:15">
      <c r="A508" s="44">
        <v>2</v>
      </c>
      <c r="B508" s="44">
        <v>2005</v>
      </c>
      <c r="C508" s="44">
        <v>5</v>
      </c>
      <c r="D508" s="44">
        <v>0</v>
      </c>
      <c r="E508" s="44">
        <v>1</v>
      </c>
      <c r="F508" s="45">
        <v>1.1929912692068294E-2</v>
      </c>
      <c r="G508" s="45">
        <v>1.1801288986742292E-2</v>
      </c>
      <c r="H508" s="46">
        <v>100000</v>
      </c>
      <c r="I508" s="46">
        <v>1180.1288986742293</v>
      </c>
      <c r="J508" s="46">
        <v>98921.8386701899</v>
      </c>
      <c r="K508" s="45">
        <v>0.98726155516369773</v>
      </c>
      <c r="L508" s="46">
        <v>8136272.6577006718</v>
      </c>
      <c r="M508" s="47">
        <v>81.362726577006711</v>
      </c>
      <c r="N508" s="48">
        <v>8.6403755537791213E-2</v>
      </c>
      <c r="O508" s="45">
        <v>0.98819871101325774</v>
      </c>
    </row>
    <row r="509" spans="1:15">
      <c r="A509" s="44">
        <v>2</v>
      </c>
      <c r="B509" s="44">
        <v>2005</v>
      </c>
      <c r="C509" s="44">
        <v>5</v>
      </c>
      <c r="D509" s="44">
        <v>1</v>
      </c>
      <c r="E509" s="44">
        <v>4</v>
      </c>
      <c r="F509" s="45">
        <v>5.7909480073247506E-4</v>
      </c>
      <c r="G509" s="45">
        <v>2.3130357465453609E-3</v>
      </c>
      <c r="H509" s="46">
        <v>98819.871101325771</v>
      </c>
      <c r="I509" s="46">
        <v>228.57389432637137</v>
      </c>
      <c r="J509" s="46">
        <v>394708.938911659</v>
      </c>
      <c r="K509" s="45">
        <v>0.99800171577414043</v>
      </c>
      <c r="L509" s="46">
        <v>8037350.8190304823</v>
      </c>
      <c r="M509" s="47">
        <v>81.333346516808533</v>
      </c>
      <c r="N509" s="48">
        <v>1.5038903925334404</v>
      </c>
      <c r="O509" s="45">
        <v>0.9976869642534546</v>
      </c>
    </row>
    <row r="510" spans="1:15">
      <c r="A510" s="44">
        <v>2</v>
      </c>
      <c r="B510" s="44">
        <v>2005</v>
      </c>
      <c r="C510" s="44">
        <v>5</v>
      </c>
      <c r="D510" s="44">
        <v>5</v>
      </c>
      <c r="E510" s="44">
        <v>5</v>
      </c>
      <c r="F510" s="45">
        <v>2.5342666868011677E-4</v>
      </c>
      <c r="G510" s="45">
        <v>1.2663310382594031E-3</v>
      </c>
      <c r="H510" s="46">
        <v>98591.297206999399</v>
      </c>
      <c r="I510" s="46">
        <v>124.84921975548787</v>
      </c>
      <c r="J510" s="46">
        <v>492644.36298560828</v>
      </c>
      <c r="K510" s="45">
        <v>0.99866614845486668</v>
      </c>
      <c r="L510" s="46">
        <v>7642641.8801188236</v>
      </c>
      <c r="M510" s="47">
        <v>77.518422990951791</v>
      </c>
      <c r="N510" s="48">
        <v>2.5</v>
      </c>
      <c r="O510" s="45">
        <v>0.99873366896174065</v>
      </c>
    </row>
    <row r="511" spans="1:15">
      <c r="A511" s="44">
        <v>2</v>
      </c>
      <c r="B511" s="44">
        <v>2005</v>
      </c>
      <c r="C511" s="44">
        <v>5</v>
      </c>
      <c r="D511" s="44">
        <v>10</v>
      </c>
      <c r="E511" s="44">
        <v>5</v>
      </c>
      <c r="F511" s="45">
        <v>2.8048807883051299E-4</v>
      </c>
      <c r="G511" s="45">
        <v>1.4014576637334077E-3</v>
      </c>
      <c r="H511" s="46">
        <v>98466.447987243911</v>
      </c>
      <c r="I511" s="46">
        <v>137.99655815232836</v>
      </c>
      <c r="J511" s="46">
        <v>491987.24854083871</v>
      </c>
      <c r="K511" s="45">
        <v>0.99824277769961878</v>
      </c>
      <c r="L511" s="46">
        <v>7149997.5171332154</v>
      </c>
      <c r="M511" s="47">
        <v>72.61354160007356</v>
      </c>
      <c r="N511" s="48">
        <v>2.5</v>
      </c>
      <c r="O511" s="45">
        <v>0.99859854233626655</v>
      </c>
    </row>
    <row r="512" spans="1:15">
      <c r="A512" s="44">
        <v>2</v>
      </c>
      <c r="B512" s="44">
        <v>2005</v>
      </c>
      <c r="C512" s="44">
        <v>5</v>
      </c>
      <c r="D512" s="44">
        <v>15</v>
      </c>
      <c r="E512" s="44">
        <v>5</v>
      </c>
      <c r="F512" s="45">
        <v>4.4923183066057989E-4</v>
      </c>
      <c r="G512" s="45">
        <v>2.2437855400871268E-3</v>
      </c>
      <c r="H512" s="46">
        <v>98328.451429091583</v>
      </c>
      <c r="I512" s="46">
        <v>220.62795749575889</v>
      </c>
      <c r="J512" s="46">
        <v>491122.71757619956</v>
      </c>
      <c r="K512" s="45">
        <v>0.99745691982713292</v>
      </c>
      <c r="L512" s="46">
        <v>6658010.2685923772</v>
      </c>
      <c r="M512" s="47">
        <v>67.71194066240048</v>
      </c>
      <c r="N512" s="48">
        <v>2.6451779948679173</v>
      </c>
      <c r="O512" s="45">
        <v>0.99775621445991292</v>
      </c>
    </row>
    <row r="513" spans="1:15">
      <c r="A513" s="44">
        <v>2</v>
      </c>
      <c r="B513" s="44">
        <v>2005</v>
      </c>
      <c r="C513" s="44">
        <v>5</v>
      </c>
      <c r="D513" s="44">
        <v>20</v>
      </c>
      <c r="E513" s="44">
        <v>5</v>
      </c>
      <c r="F513" s="45">
        <v>5.6559479844782413E-4</v>
      </c>
      <c r="G513" s="45">
        <v>2.8241381457926986E-3</v>
      </c>
      <c r="H513" s="46">
        <v>98107.823471595824</v>
      </c>
      <c r="I513" s="46">
        <v>277.07004666683497</v>
      </c>
      <c r="J513" s="46">
        <v>489873.75313068694</v>
      </c>
      <c r="K513" s="45">
        <v>0.99680266568480091</v>
      </c>
      <c r="L513" s="46">
        <v>6166887.551016178</v>
      </c>
      <c r="M513" s="47">
        <v>62.858264843696332</v>
      </c>
      <c r="N513" s="48">
        <v>2.5985703424222906</v>
      </c>
      <c r="O513" s="45">
        <v>0.99717586185420726</v>
      </c>
    </row>
    <row r="514" spans="1:15">
      <c r="A514" s="44">
        <v>2</v>
      </c>
      <c r="B514" s="44">
        <v>2005</v>
      </c>
      <c r="C514" s="44">
        <v>5</v>
      </c>
      <c r="D514" s="44">
        <v>25</v>
      </c>
      <c r="E514" s="44">
        <v>5</v>
      </c>
      <c r="F514" s="45">
        <v>7.2511674736672736E-4</v>
      </c>
      <c r="G514" s="45">
        <v>3.6193109719346414E-3</v>
      </c>
      <c r="H514" s="46">
        <v>97830.753424928989</v>
      </c>
      <c r="I514" s="46">
        <v>354.07991926347313</v>
      </c>
      <c r="J514" s="46">
        <v>488307.46296968684</v>
      </c>
      <c r="K514" s="45">
        <v>0.99581506109840956</v>
      </c>
      <c r="L514" s="46">
        <v>5677013.7978854906</v>
      </c>
      <c r="M514" s="47">
        <v>58.028928523399145</v>
      </c>
      <c r="N514" s="48">
        <v>2.6098498985242946</v>
      </c>
      <c r="O514" s="45">
        <v>0.99638068902806531</v>
      </c>
    </row>
    <row r="515" spans="1:15">
      <c r="A515" s="44">
        <v>2</v>
      </c>
      <c r="B515" s="44">
        <v>2005</v>
      </c>
      <c r="C515" s="44">
        <v>5</v>
      </c>
      <c r="D515" s="44">
        <v>30</v>
      </c>
      <c r="E515" s="44">
        <v>5</v>
      </c>
      <c r="F515" s="45">
        <v>9.6527071763905892E-4</v>
      </c>
      <c r="G515" s="45">
        <v>4.8152682277795809E-3</v>
      </c>
      <c r="H515" s="46">
        <v>97476.673505665516</v>
      </c>
      <c r="I515" s="46">
        <v>469.37632888146618</v>
      </c>
      <c r="J515" s="46">
        <v>486263.92607196805</v>
      </c>
      <c r="K515" s="45">
        <v>0.99448287268800672</v>
      </c>
      <c r="L515" s="46">
        <v>5188706.3349158037</v>
      </c>
      <c r="M515" s="47">
        <v>53.230235997068846</v>
      </c>
      <c r="N515" s="48">
        <v>2.6150449277508399</v>
      </c>
      <c r="O515" s="45">
        <v>0.99518473177222044</v>
      </c>
    </row>
    <row r="516" spans="1:15">
      <c r="A516" s="44">
        <v>2</v>
      </c>
      <c r="B516" s="44">
        <v>2005</v>
      </c>
      <c r="C516" s="44">
        <v>5</v>
      </c>
      <c r="D516" s="44">
        <v>35</v>
      </c>
      <c r="E516" s="44">
        <v>5</v>
      </c>
      <c r="F516" s="45">
        <v>1.2718159412078562E-3</v>
      </c>
      <c r="G516" s="45">
        <v>6.3399994470225022E-3</v>
      </c>
      <c r="H516" s="46">
        <v>97007.29717678405</v>
      </c>
      <c r="I516" s="46">
        <v>615.02621045795968</v>
      </c>
      <c r="J516" s="46">
        <v>483581.14608459931</v>
      </c>
      <c r="K516" s="45">
        <v>0.99233419617780416</v>
      </c>
      <c r="L516" s="46">
        <v>4702442.4088438358</v>
      </c>
      <c r="M516" s="47">
        <v>48.475141001755816</v>
      </c>
      <c r="N516" s="48">
        <v>2.633694670935586</v>
      </c>
      <c r="O516" s="45">
        <v>0.99366000055297754</v>
      </c>
    </row>
    <row r="517" spans="1:15">
      <c r="A517" s="44">
        <v>2</v>
      </c>
      <c r="B517" s="44">
        <v>2005</v>
      </c>
      <c r="C517" s="44">
        <v>5</v>
      </c>
      <c r="D517" s="44">
        <v>40</v>
      </c>
      <c r="E517" s="44">
        <v>5</v>
      </c>
      <c r="F517" s="45">
        <v>1.8572667158462063E-3</v>
      </c>
      <c r="G517" s="45">
        <v>9.2461169286646508E-3</v>
      </c>
      <c r="H517" s="46">
        <v>96392.27096632609</v>
      </c>
      <c r="I517" s="46">
        <v>891.25420837418642</v>
      </c>
      <c r="J517" s="46">
        <v>479874.10788660217</v>
      </c>
      <c r="K517" s="45">
        <v>0.98863767487693777</v>
      </c>
      <c r="L517" s="46">
        <v>4218861.2627592366</v>
      </c>
      <c r="M517" s="47">
        <v>43.767630127036469</v>
      </c>
      <c r="N517" s="48">
        <v>2.6580790021336478</v>
      </c>
      <c r="O517" s="45">
        <v>0.99075388307133538</v>
      </c>
    </row>
    <row r="518" spans="1:15">
      <c r="A518" s="44">
        <v>2</v>
      </c>
      <c r="B518" s="44">
        <v>2005</v>
      </c>
      <c r="C518" s="44">
        <v>5</v>
      </c>
      <c r="D518" s="44">
        <v>45</v>
      </c>
      <c r="E518" s="44">
        <v>5</v>
      </c>
      <c r="F518" s="45">
        <v>2.767093887935819E-3</v>
      </c>
      <c r="G518" s="45">
        <v>1.3746127693830488E-2</v>
      </c>
      <c r="H518" s="46">
        <v>95501.016757951904</v>
      </c>
      <c r="I518" s="46">
        <v>1312.7691712454543</v>
      </c>
      <c r="J518" s="46">
        <v>474421.62225465517</v>
      </c>
      <c r="K518" s="45">
        <v>0.98352817565828576</v>
      </c>
      <c r="L518" s="46">
        <v>3738987.1548726349</v>
      </c>
      <c r="M518" s="47">
        <v>39.151281125614901</v>
      </c>
      <c r="N518" s="48">
        <v>2.6511776764387163</v>
      </c>
      <c r="O518" s="45">
        <v>0.98625387230616957</v>
      </c>
    </row>
    <row r="519" spans="1:15">
      <c r="A519" s="44">
        <v>2</v>
      </c>
      <c r="B519" s="44">
        <v>2005</v>
      </c>
      <c r="C519" s="44">
        <v>5</v>
      </c>
      <c r="D519" s="44">
        <v>50</v>
      </c>
      <c r="E519" s="44">
        <v>5</v>
      </c>
      <c r="F519" s="45">
        <v>3.9449239838080198E-3</v>
      </c>
      <c r="G519" s="45">
        <v>1.9543088667585463E-2</v>
      </c>
      <c r="H519" s="46">
        <v>94188.24758670645</v>
      </c>
      <c r="I519" s="46">
        <v>1840.7292740314879</v>
      </c>
      <c r="J519" s="46">
        <v>466607.03262896539</v>
      </c>
      <c r="K519" s="45">
        <v>0.976314032178903</v>
      </c>
      <c r="L519" s="46">
        <v>3264565.5326179797</v>
      </c>
      <c r="M519" s="47">
        <v>34.660009250227674</v>
      </c>
      <c r="N519" s="48">
        <v>2.6453868769771574</v>
      </c>
      <c r="O519" s="45">
        <v>0.98045691133241453</v>
      </c>
    </row>
    <row r="520" spans="1:15">
      <c r="A520" s="44">
        <v>2</v>
      </c>
      <c r="B520" s="44">
        <v>2005</v>
      </c>
      <c r="C520" s="44">
        <v>5</v>
      </c>
      <c r="D520" s="44">
        <v>55</v>
      </c>
      <c r="E520" s="44">
        <v>5</v>
      </c>
      <c r="F520" s="45">
        <v>5.784048562734301E-3</v>
      </c>
      <c r="G520" s="45">
        <v>2.8533005037551219E-2</v>
      </c>
      <c r="H520" s="46">
        <v>92347.518312674962</v>
      </c>
      <c r="I520" s="46">
        <v>2634.9522052209068</v>
      </c>
      <c r="J520" s="46">
        <v>455554.99346901814</v>
      </c>
      <c r="K520" s="45">
        <v>0.96474900304520239</v>
      </c>
      <c r="L520" s="46">
        <v>2797958.4999890141</v>
      </c>
      <c r="M520" s="47">
        <v>30.298144997416635</v>
      </c>
      <c r="N520" s="48">
        <v>2.6536204026371206</v>
      </c>
      <c r="O520" s="45">
        <v>0.97146699496244882</v>
      </c>
    </row>
    <row r="521" spans="1:15">
      <c r="A521" s="44">
        <v>2</v>
      </c>
      <c r="B521" s="44">
        <v>2005</v>
      </c>
      <c r="C521" s="44">
        <v>5</v>
      </c>
      <c r="D521" s="44">
        <v>60</v>
      </c>
      <c r="E521" s="44">
        <v>5</v>
      </c>
      <c r="F521" s="45">
        <v>8.7377096661770005E-3</v>
      </c>
      <c r="G521" s="45">
        <v>4.2805490767700134E-2</v>
      </c>
      <c r="H521" s="46">
        <v>89712.566107454055</v>
      </c>
      <c r="I521" s="46">
        <v>3840.1904202593141</v>
      </c>
      <c r="J521" s="46">
        <v>439496.22578149894</v>
      </c>
      <c r="K521" s="45">
        <v>0.94937947877062812</v>
      </c>
      <c r="L521" s="46">
        <v>2342403.5065199961</v>
      </c>
      <c r="M521" s="47">
        <v>26.110093693166245</v>
      </c>
      <c r="N521" s="48">
        <v>2.6390220891288241</v>
      </c>
      <c r="O521" s="45">
        <v>0.95719450923229987</v>
      </c>
    </row>
    <row r="522" spans="1:15">
      <c r="A522" s="44">
        <v>2</v>
      </c>
      <c r="B522" s="44">
        <v>2005</v>
      </c>
      <c r="C522" s="44">
        <v>5</v>
      </c>
      <c r="D522" s="44">
        <v>65</v>
      </c>
      <c r="E522" s="44">
        <v>5</v>
      </c>
      <c r="F522" s="45">
        <v>1.230230945531257E-2</v>
      </c>
      <c r="G522" s="45">
        <v>5.9776180157113584E-2</v>
      </c>
      <c r="H522" s="46">
        <v>85872.375687194741</v>
      </c>
      <c r="I522" s="46">
        <v>5133.1225995971035</v>
      </c>
      <c r="J522" s="46">
        <v>417248.69775409775</v>
      </c>
      <c r="K522" s="45">
        <v>0.92498247735505101</v>
      </c>
      <c r="L522" s="46">
        <v>1902907.2807384972</v>
      </c>
      <c r="M522" s="47">
        <v>22.159713941887112</v>
      </c>
      <c r="N522" s="48">
        <v>2.6401926026807301</v>
      </c>
      <c r="O522" s="45">
        <v>0.94022381984288639</v>
      </c>
    </row>
    <row r="523" spans="1:15">
      <c r="A523" s="44">
        <v>2</v>
      </c>
      <c r="B523" s="44">
        <v>2005</v>
      </c>
      <c r="C523" s="44">
        <v>5</v>
      </c>
      <c r="D523" s="44">
        <v>70</v>
      </c>
      <c r="E523" s="44">
        <v>5</v>
      </c>
      <c r="F523" s="45">
        <v>1.9367486196743524E-2</v>
      </c>
      <c r="G523" s="45">
        <v>9.2579967332094684E-2</v>
      </c>
      <c r="H523" s="46">
        <v>80739.253087597637</v>
      </c>
      <c r="I523" s="46">
        <v>7474.837413267509</v>
      </c>
      <c r="J523" s="46">
        <v>385947.73412175424</v>
      </c>
      <c r="K523" s="45">
        <v>0.89099863319514527</v>
      </c>
      <c r="L523" s="46">
        <v>1485658.5829843995</v>
      </c>
      <c r="M523" s="47">
        <v>18.40069763058796</v>
      </c>
      <c r="N523" s="48">
        <v>2.6255628938856805</v>
      </c>
      <c r="O523" s="45">
        <v>0.90742003266790527</v>
      </c>
    </row>
    <row r="524" spans="1:15">
      <c r="A524" s="44">
        <v>2</v>
      </c>
      <c r="B524" s="44">
        <v>2005</v>
      </c>
      <c r="C524" s="44">
        <v>5</v>
      </c>
      <c r="D524" s="44">
        <v>75</v>
      </c>
      <c r="E524" s="44">
        <v>5</v>
      </c>
      <c r="F524" s="45">
        <v>2.7280270755112173E-2</v>
      </c>
      <c r="G524" s="45">
        <v>0.12804455628952874</v>
      </c>
      <c r="H524" s="46">
        <v>73264.415674330128</v>
      </c>
      <c r="I524" s="46">
        <v>9381.1095968311929</v>
      </c>
      <c r="J524" s="46">
        <v>343878.90358724637</v>
      </c>
      <c r="K524" s="45">
        <v>0.84258852331945977</v>
      </c>
      <c r="L524" s="46">
        <v>1099710.8488626452</v>
      </c>
      <c r="M524" s="47">
        <v>15.010163375232571</v>
      </c>
      <c r="N524" s="48">
        <v>2.6076204469474229</v>
      </c>
      <c r="O524" s="45">
        <v>0.87195544371047129</v>
      </c>
    </row>
    <row r="525" spans="1:15">
      <c r="A525" s="44">
        <v>2</v>
      </c>
      <c r="B525" s="44">
        <v>2005</v>
      </c>
      <c r="C525" s="44">
        <v>5</v>
      </c>
      <c r="D525" s="44">
        <v>80</v>
      </c>
      <c r="E525" s="44">
        <v>5</v>
      </c>
      <c r="F525" s="45">
        <v>4.2647836411112486E-2</v>
      </c>
      <c r="G525" s="45">
        <v>0.19343305586120252</v>
      </c>
      <c r="H525" s="46">
        <v>63883.306077498935</v>
      </c>
      <c r="I525" s="46">
        <v>12357.143113087157</v>
      </c>
      <c r="J525" s="46">
        <v>289748.41757429281</v>
      </c>
      <c r="K525" s="45">
        <v>0.76352387278590372</v>
      </c>
      <c r="L525" s="46">
        <v>755831.9452753989</v>
      </c>
      <c r="M525" s="47">
        <v>11.831446925406057</v>
      </c>
      <c r="N525" s="48">
        <v>2.5991123076189773</v>
      </c>
      <c r="O525" s="45">
        <v>0.80656694413879748</v>
      </c>
    </row>
    <row r="526" spans="1:15">
      <c r="A526" s="44">
        <v>2</v>
      </c>
      <c r="B526" s="44">
        <v>2005</v>
      </c>
      <c r="C526" s="44">
        <v>5</v>
      </c>
      <c r="D526" s="44">
        <v>85</v>
      </c>
      <c r="E526" s="44">
        <v>5</v>
      </c>
      <c r="F526" s="45">
        <v>6.7247591159376091E-2</v>
      </c>
      <c r="G526" s="45">
        <v>0.28873047337094104</v>
      </c>
      <c r="H526" s="46">
        <v>51526.162964411778</v>
      </c>
      <c r="I526" s="46">
        <v>14877.173423702865</v>
      </c>
      <c r="J526" s="46">
        <v>221229.83391991124</v>
      </c>
      <c r="K526" s="45">
        <v>0.65102556891563212</v>
      </c>
      <c r="L526" s="46">
        <v>466083.52770110604</v>
      </c>
      <c r="M526" s="47">
        <v>9.0455702673420841</v>
      </c>
      <c r="N526" s="48">
        <v>2.5532327367944596</v>
      </c>
      <c r="O526" s="45">
        <v>0.71126952662905896</v>
      </c>
    </row>
    <row r="527" spans="1:15">
      <c r="A527" s="44">
        <v>2</v>
      </c>
      <c r="B527" s="44">
        <v>2005</v>
      </c>
      <c r="C527" s="44">
        <v>5</v>
      </c>
      <c r="D527" s="44">
        <v>90</v>
      </c>
      <c r="E527" s="44">
        <v>5</v>
      </c>
      <c r="F527" s="45">
        <v>0.10787461623795559</v>
      </c>
      <c r="G527" s="45">
        <v>0.42393473093997763</v>
      </c>
      <c r="H527" s="46">
        <v>36648.989540708913</v>
      </c>
      <c r="I527" s="46">
        <v>15536.779520162487</v>
      </c>
      <c r="J527" s="46">
        <v>144026.27848882103</v>
      </c>
      <c r="K527" s="45">
        <v>0.49922836371172213</v>
      </c>
      <c r="L527" s="46">
        <v>244853.69378119477</v>
      </c>
      <c r="M527" s="47">
        <v>6.6810489688731129</v>
      </c>
      <c r="N527" s="48">
        <v>2.4757529921932386</v>
      </c>
      <c r="O527" s="45">
        <v>0.57606526906002231</v>
      </c>
    </row>
    <row r="528" spans="1:15">
      <c r="A528" s="44">
        <v>2</v>
      </c>
      <c r="B528" s="44">
        <v>2005</v>
      </c>
      <c r="C528" s="44">
        <v>5</v>
      </c>
      <c r="D528" s="44">
        <v>95</v>
      </c>
      <c r="E528" s="44">
        <v>5</v>
      </c>
      <c r="F528" s="45">
        <v>0.17604536606497118</v>
      </c>
      <c r="G528" s="45">
        <v>0.59955895127671754</v>
      </c>
      <c r="H528" s="46">
        <v>21112.210020546427</v>
      </c>
      <c r="I528" s="46">
        <v>12658.014499052622</v>
      </c>
      <c r="J528" s="46">
        <v>71902.003341462929</v>
      </c>
      <c r="K528" s="45">
        <v>0.28688042698540384</v>
      </c>
      <c r="L528" s="46">
        <v>100827.41529237374</v>
      </c>
      <c r="M528" s="47">
        <v>4.7757868642955135</v>
      </c>
      <c r="N528" s="48">
        <v>2.340890487699443</v>
      </c>
      <c r="O528" s="45">
        <v>0.40044104872328246</v>
      </c>
    </row>
    <row r="529" spans="1:15">
      <c r="A529" s="44">
        <v>2</v>
      </c>
      <c r="B529" s="44">
        <v>2005</v>
      </c>
      <c r="C529" s="44">
        <v>5</v>
      </c>
      <c r="D529" s="44">
        <v>100</v>
      </c>
      <c r="E529" s="44">
        <v>0</v>
      </c>
      <c r="F529" s="45">
        <v>0.2922757171390119</v>
      </c>
      <c r="G529" s="45">
        <v>1</v>
      </c>
      <c r="H529" s="46">
        <v>8454.1955214938043</v>
      </c>
      <c r="I529" s="46">
        <v>8454.1955214938043</v>
      </c>
      <c r="J529" s="46">
        <v>28925.411950910817</v>
      </c>
      <c r="K529" s="45">
        <v>0</v>
      </c>
      <c r="L529" s="46">
        <v>28925.411950910817</v>
      </c>
      <c r="M529" s="47">
        <v>3.4214268971389812</v>
      </c>
      <c r="N529" s="48">
        <v>3.4214268971389812</v>
      </c>
      <c r="O529" s="45">
        <v>0</v>
      </c>
    </row>
    <row r="530" spans="1:15">
      <c r="A530" s="39">
        <v>1</v>
      </c>
      <c r="B530" s="39">
        <v>2010</v>
      </c>
      <c r="C530" s="39">
        <v>5</v>
      </c>
      <c r="D530" s="39">
        <v>0</v>
      </c>
      <c r="E530" s="39">
        <v>1</v>
      </c>
      <c r="F530" s="40">
        <v>1.1100467065871414E-2</v>
      </c>
      <c r="G530" s="40">
        <v>1.0987621744955541E-2</v>
      </c>
      <c r="H530" s="41">
        <v>100000</v>
      </c>
      <c r="I530" s="41">
        <v>1098.7621744955541</v>
      </c>
      <c r="J530" s="41">
        <v>98983.418262977721</v>
      </c>
      <c r="K530" s="40">
        <v>0.98819520127243599</v>
      </c>
      <c r="L530" s="41">
        <v>7542718.3619127823</v>
      </c>
      <c r="M530" s="42">
        <v>75.427183619127817</v>
      </c>
      <c r="N530" s="43">
        <v>7.4793653604798879E-2</v>
      </c>
      <c r="O530" s="40">
        <v>0.98901237825504451</v>
      </c>
    </row>
    <row r="531" spans="1:15">
      <c r="A531" s="39">
        <v>1</v>
      </c>
      <c r="B531" s="39">
        <v>2010</v>
      </c>
      <c r="C531" s="39">
        <v>5</v>
      </c>
      <c r="D531" s="39">
        <v>1</v>
      </c>
      <c r="E531" s="39">
        <v>4</v>
      </c>
      <c r="F531" s="40">
        <v>5.2183143819437385E-4</v>
      </c>
      <c r="G531" s="40">
        <v>2.0847363144494402E-3</v>
      </c>
      <c r="H531" s="41">
        <v>98901.237825504446</v>
      </c>
      <c r="I531" s="41">
        <v>206.18300203882973</v>
      </c>
      <c r="J531" s="41">
        <v>395114.1823732403</v>
      </c>
      <c r="K531" s="40">
        <v>0.99798419389998116</v>
      </c>
      <c r="L531" s="41">
        <v>7443734.9436498042</v>
      </c>
      <c r="M531" s="42">
        <v>75.264325374603445</v>
      </c>
      <c r="N531" s="43">
        <v>1.6197410847425062</v>
      </c>
      <c r="O531" s="40">
        <v>0.99791526368555061</v>
      </c>
    </row>
    <row r="532" spans="1:15">
      <c r="A532" s="39">
        <v>1</v>
      </c>
      <c r="B532" s="39">
        <v>2010</v>
      </c>
      <c r="C532" s="39">
        <v>5</v>
      </c>
      <c r="D532" s="39">
        <v>5</v>
      </c>
      <c r="E532" s="39">
        <v>5</v>
      </c>
      <c r="F532" s="40">
        <v>3.031249071200594E-4</v>
      </c>
      <c r="G532" s="40">
        <v>1.5144768464667453E-3</v>
      </c>
      <c r="H532" s="41">
        <v>98695.054823465616</v>
      </c>
      <c r="I532" s="41">
        <v>149.47137539090181</v>
      </c>
      <c r="J532" s="41">
        <v>493101.59567885083</v>
      </c>
      <c r="K532" s="40">
        <v>0.99824662165856115</v>
      </c>
      <c r="L532" s="41">
        <v>7048620.7612765636</v>
      </c>
      <c r="M532" s="42">
        <v>71.418175651093435</v>
      </c>
      <c r="N532" s="43">
        <v>2.5</v>
      </c>
      <c r="O532" s="40">
        <v>0.99848552315353323</v>
      </c>
    </row>
    <row r="533" spans="1:15">
      <c r="A533" s="39">
        <v>1</v>
      </c>
      <c r="B533" s="39">
        <v>2010</v>
      </c>
      <c r="C533" s="39">
        <v>5</v>
      </c>
      <c r="D533" s="39">
        <v>10</v>
      </c>
      <c r="E533" s="39">
        <v>5</v>
      </c>
      <c r="F533" s="40">
        <v>3.9892589748398172E-4</v>
      </c>
      <c r="G533" s="40">
        <v>1.9926421959789204E-3</v>
      </c>
      <c r="H533" s="41">
        <v>98545.583448074714</v>
      </c>
      <c r="I533" s="41">
        <v>196.36608780600363</v>
      </c>
      <c r="J533" s="41">
        <v>492237.00202085858</v>
      </c>
      <c r="K533" s="40">
        <v>0.9954466545340499</v>
      </c>
      <c r="L533" s="41">
        <v>6555519.1655977126</v>
      </c>
      <c r="M533" s="42">
        <v>66.522708945672065</v>
      </c>
      <c r="N533" s="43">
        <v>2.5</v>
      </c>
      <c r="O533" s="40">
        <v>0.99800735780402106</v>
      </c>
    </row>
    <row r="534" spans="1:15">
      <c r="A534" s="39">
        <v>1</v>
      </c>
      <c r="B534" s="39">
        <v>2010</v>
      </c>
      <c r="C534" s="39">
        <v>5</v>
      </c>
      <c r="D534" s="39">
        <v>15</v>
      </c>
      <c r="E534" s="39">
        <v>5</v>
      </c>
      <c r="F534" s="40">
        <v>1.6887972798332858E-3</v>
      </c>
      <c r="G534" s="40">
        <v>8.413929347772308E-3</v>
      </c>
      <c r="H534" s="41">
        <v>98349.217360268711</v>
      </c>
      <c r="I534" s="41">
        <v>827.50336627800425</v>
      </c>
      <c r="J534" s="41">
        <v>489995.67689953401</v>
      </c>
      <c r="K534" s="40">
        <v>0.98898230435580625</v>
      </c>
      <c r="L534" s="41">
        <v>6063282.1635768544</v>
      </c>
      <c r="M534" s="42">
        <v>61.650538014614746</v>
      </c>
      <c r="N534" s="43">
        <v>2.884709630025271</v>
      </c>
      <c r="O534" s="40">
        <v>0.9915860706522277</v>
      </c>
    </row>
    <row r="535" spans="1:15">
      <c r="A535" s="39">
        <v>1</v>
      </c>
      <c r="B535" s="39">
        <v>2010</v>
      </c>
      <c r="C535" s="39">
        <v>5</v>
      </c>
      <c r="D535" s="39">
        <v>20</v>
      </c>
      <c r="E535" s="39">
        <v>5</v>
      </c>
      <c r="F535" s="40">
        <v>2.571564830273165E-3</v>
      </c>
      <c r="G535" s="40">
        <v>1.277841302229752E-2</v>
      </c>
      <c r="H535" s="41">
        <v>97521.713993990707</v>
      </c>
      <c r="I535" s="41">
        <v>1246.1727400575764</v>
      </c>
      <c r="J535" s="41">
        <v>484597.05366448424</v>
      </c>
      <c r="K535" s="40">
        <v>0.98699574602182338</v>
      </c>
      <c r="L535" s="41">
        <v>5573286.4866773207</v>
      </c>
      <c r="M535" s="42">
        <v>57.149185124255986</v>
      </c>
      <c r="N535" s="43">
        <v>2.5833877530251885</v>
      </c>
      <c r="O535" s="40">
        <v>0.98722158697770246</v>
      </c>
    </row>
    <row r="536" spans="1:15">
      <c r="A536" s="39">
        <v>1</v>
      </c>
      <c r="B536" s="39">
        <v>2010</v>
      </c>
      <c r="C536" s="39">
        <v>5</v>
      </c>
      <c r="D536" s="39">
        <v>25</v>
      </c>
      <c r="E536" s="39">
        <v>5</v>
      </c>
      <c r="F536" s="40">
        <v>2.5856927738194284E-3</v>
      </c>
      <c r="G536" s="40">
        <v>1.284567715904319E-2</v>
      </c>
      <c r="H536" s="41">
        <v>96275.54125393313</v>
      </c>
      <c r="I536" s="41">
        <v>1236.7245212601701</v>
      </c>
      <c r="J536" s="41">
        <v>478295.2305015552</v>
      </c>
      <c r="K536" s="40">
        <v>0.98684740811201677</v>
      </c>
      <c r="L536" s="41">
        <v>5088689.4330128366</v>
      </c>
      <c r="M536" s="42">
        <v>52.855474679608193</v>
      </c>
      <c r="N536" s="43">
        <v>2.5075485970234381</v>
      </c>
      <c r="O536" s="40">
        <v>0.98715432284095683</v>
      </c>
    </row>
    <row r="537" spans="1:15">
      <c r="A537" s="39">
        <v>1</v>
      </c>
      <c r="B537" s="39">
        <v>2010</v>
      </c>
      <c r="C537" s="39">
        <v>5</v>
      </c>
      <c r="D537" s="39">
        <v>30</v>
      </c>
      <c r="E537" s="39">
        <v>5</v>
      </c>
      <c r="F537" s="40">
        <v>2.7362949311902037E-3</v>
      </c>
      <c r="G537" s="40">
        <v>1.3589639633252246E-2</v>
      </c>
      <c r="H537" s="41">
        <v>95038.81673267296</v>
      </c>
      <c r="I537" s="41">
        <v>1291.5432705677376</v>
      </c>
      <c r="J537" s="41">
        <v>472004.4085327994</v>
      </c>
      <c r="K537" s="40">
        <v>0.9857051658448519</v>
      </c>
      <c r="L537" s="41">
        <v>4610394.2025112817</v>
      </c>
      <c r="M537" s="42">
        <v>48.51064397697089</v>
      </c>
      <c r="N537" s="43">
        <v>2.5303381595854213</v>
      </c>
      <c r="O537" s="40">
        <v>0.98641036036674778</v>
      </c>
    </row>
    <row r="538" spans="1:15">
      <c r="A538" s="39">
        <v>1</v>
      </c>
      <c r="B538" s="39">
        <v>2010</v>
      </c>
      <c r="C538" s="39">
        <v>5</v>
      </c>
      <c r="D538" s="39">
        <v>35</v>
      </c>
      <c r="E538" s="39">
        <v>5</v>
      </c>
      <c r="F538" s="40">
        <v>3.0739998151604847E-3</v>
      </c>
      <c r="G538" s="40">
        <v>1.5255915656659732E-2</v>
      </c>
      <c r="H538" s="41">
        <v>93747.273462105222</v>
      </c>
      <c r="I538" s="41">
        <v>1430.2004969796835</v>
      </c>
      <c r="J538" s="41">
        <v>465257.18379232427</v>
      </c>
      <c r="K538" s="40">
        <v>0.98292345347893606</v>
      </c>
      <c r="L538" s="41">
        <v>4138389.793978482</v>
      </c>
      <c r="M538" s="42">
        <v>44.144108315334776</v>
      </c>
      <c r="N538" s="43">
        <v>2.5673456095497116</v>
      </c>
      <c r="O538" s="40">
        <v>0.98474408434334026</v>
      </c>
    </row>
    <row r="539" spans="1:15">
      <c r="A539" s="39">
        <v>1</v>
      </c>
      <c r="B539" s="39">
        <v>2010</v>
      </c>
      <c r="C539" s="39">
        <v>5</v>
      </c>
      <c r="D539" s="39">
        <v>40</v>
      </c>
      <c r="E539" s="39">
        <v>5</v>
      </c>
      <c r="F539" s="40">
        <v>3.8985462000757768E-3</v>
      </c>
      <c r="G539" s="40">
        <v>1.9312275334446145E-2</v>
      </c>
      <c r="H539" s="41">
        <v>92317.072965125539</v>
      </c>
      <c r="I539" s="41">
        <v>1782.8527311726648</v>
      </c>
      <c r="J539" s="41">
        <v>457312.19784903544</v>
      </c>
      <c r="K539" s="40">
        <v>0.97759921512271497</v>
      </c>
      <c r="L539" s="41">
        <v>3673132.6101861577</v>
      </c>
      <c r="M539" s="42">
        <v>39.788226513353067</v>
      </c>
      <c r="N539" s="43">
        <v>2.6031856687447235</v>
      </c>
      <c r="O539" s="40">
        <v>0.98068772466555387</v>
      </c>
    </row>
    <row r="540" spans="1:15">
      <c r="A540" s="39">
        <v>1</v>
      </c>
      <c r="B540" s="39">
        <v>2010</v>
      </c>
      <c r="C540" s="39">
        <v>5</v>
      </c>
      <c r="D540" s="39">
        <v>45</v>
      </c>
      <c r="E540" s="39">
        <v>5</v>
      </c>
      <c r="F540" s="40">
        <v>5.2449004252160796E-3</v>
      </c>
      <c r="G540" s="40">
        <v>2.58999014609647E-2</v>
      </c>
      <c r="H540" s="41">
        <v>90534.220233952874</v>
      </c>
      <c r="I540" s="41">
        <v>2344.827382904652</v>
      </c>
      <c r="J540" s="41">
        <v>447068.04568326077</v>
      </c>
      <c r="K540" s="40">
        <v>0.97014998235209282</v>
      </c>
      <c r="L540" s="41">
        <v>3215820.4123371225</v>
      </c>
      <c r="M540" s="42">
        <v>35.520496051404656</v>
      </c>
      <c r="N540" s="43">
        <v>2.6104614235770147</v>
      </c>
      <c r="O540" s="40">
        <v>0.97410009853903534</v>
      </c>
    </row>
    <row r="541" spans="1:15">
      <c r="A541" s="39">
        <v>1</v>
      </c>
      <c r="B541" s="39">
        <v>2010</v>
      </c>
      <c r="C541" s="39">
        <v>5</v>
      </c>
      <c r="D541" s="39">
        <v>50</v>
      </c>
      <c r="E541" s="39">
        <v>5</v>
      </c>
      <c r="F541" s="40">
        <v>6.9815262396698439E-3</v>
      </c>
      <c r="G541" s="40">
        <v>3.4335749490022341E-2</v>
      </c>
      <c r="H541" s="41">
        <v>88189.392851048222</v>
      </c>
      <c r="I541" s="41">
        <v>3028.0489006107528</v>
      </c>
      <c r="J541" s="41">
        <v>433723.05662980006</v>
      </c>
      <c r="K541" s="40">
        <v>0.95955553988413333</v>
      </c>
      <c r="L541" s="41">
        <v>2768752.3666538619</v>
      </c>
      <c r="M541" s="42">
        <v>31.395525891988864</v>
      </c>
      <c r="N541" s="43">
        <v>2.6143358768136125</v>
      </c>
      <c r="O541" s="40">
        <v>0.96566425050997762</v>
      </c>
    </row>
    <row r="542" spans="1:15">
      <c r="A542" s="39">
        <v>1</v>
      </c>
      <c r="B542" s="39">
        <v>2010</v>
      </c>
      <c r="C542" s="39">
        <v>5</v>
      </c>
      <c r="D542" s="39">
        <v>55</v>
      </c>
      <c r="E542" s="39">
        <v>5</v>
      </c>
      <c r="F542" s="40">
        <v>9.7365196473461185E-3</v>
      </c>
      <c r="G542" s="40">
        <v>4.758212843656652E-2</v>
      </c>
      <c r="H542" s="41">
        <v>85161.343950437469</v>
      </c>
      <c r="I542" s="41">
        <v>4052.1580056803359</v>
      </c>
      <c r="J542" s="41">
        <v>416181.36176460434</v>
      </c>
      <c r="K542" s="40">
        <v>0.94282880638188671</v>
      </c>
      <c r="L542" s="41">
        <v>2335029.3100240617</v>
      </c>
      <c r="M542" s="42">
        <v>27.418887510547169</v>
      </c>
      <c r="N542" s="43">
        <v>2.6246340902575565</v>
      </c>
      <c r="O542" s="40">
        <v>0.95241787156343349</v>
      </c>
    </row>
    <row r="543" spans="1:15">
      <c r="A543" s="39">
        <v>1</v>
      </c>
      <c r="B543" s="39">
        <v>2010</v>
      </c>
      <c r="C543" s="39">
        <v>5</v>
      </c>
      <c r="D543" s="39">
        <v>60</v>
      </c>
      <c r="E543" s="39">
        <v>5</v>
      </c>
      <c r="F543" s="40">
        <v>1.3997466956409483E-2</v>
      </c>
      <c r="G543" s="40">
        <v>6.7716558517936662E-2</v>
      </c>
      <c r="H543" s="41">
        <v>81109.185944757133</v>
      </c>
      <c r="I543" s="41">
        <v>5492.4349363703514</v>
      </c>
      <c r="J543" s="41">
        <v>392387.77655091009</v>
      </c>
      <c r="K543" s="40">
        <v>0.92277961429199273</v>
      </c>
      <c r="L543" s="41">
        <v>1918847.9482594575</v>
      </c>
      <c r="M543" s="42">
        <v>23.657591010300248</v>
      </c>
      <c r="N543" s="43">
        <v>2.6043133281846296</v>
      </c>
      <c r="O543" s="40">
        <v>0.93228344148206332</v>
      </c>
    </row>
    <row r="544" spans="1:15">
      <c r="A544" s="39">
        <v>1</v>
      </c>
      <c r="B544" s="39">
        <v>2010</v>
      </c>
      <c r="C544" s="39">
        <v>5</v>
      </c>
      <c r="D544" s="39">
        <v>65</v>
      </c>
      <c r="E544" s="39">
        <v>5</v>
      </c>
      <c r="F544" s="40">
        <v>1.847765885613542E-2</v>
      </c>
      <c r="G544" s="40">
        <v>8.8479445671605469E-2</v>
      </c>
      <c r="H544" s="41">
        <v>75616.751008386782</v>
      </c>
      <c r="I544" s="41">
        <v>6690.5282127098762</v>
      </c>
      <c r="J544" s="41">
        <v>362087.44109854143</v>
      </c>
      <c r="K544" s="40">
        <v>0.89052874139420546</v>
      </c>
      <c r="L544" s="41">
        <v>1526460.1717085475</v>
      </c>
      <c r="M544" s="42">
        <v>20.186799238957587</v>
      </c>
      <c r="N544" s="43">
        <v>2.6091104566296353</v>
      </c>
      <c r="O544" s="40">
        <v>0.91152055432839452</v>
      </c>
    </row>
    <row r="545" spans="1:15">
      <c r="A545" s="39">
        <v>1</v>
      </c>
      <c r="B545" s="39">
        <v>2010</v>
      </c>
      <c r="C545" s="39">
        <v>5</v>
      </c>
      <c r="D545" s="39">
        <v>70</v>
      </c>
      <c r="E545" s="39">
        <v>5</v>
      </c>
      <c r="F545" s="40">
        <v>2.8428244111688906E-2</v>
      </c>
      <c r="G545" s="40">
        <v>0.13299244148674377</v>
      </c>
      <c r="H545" s="41">
        <v>68926.222795676906</v>
      </c>
      <c r="I545" s="41">
        <v>9166.6666520563231</v>
      </c>
      <c r="J545" s="41">
        <v>322449.27319613262</v>
      </c>
      <c r="K545" s="40">
        <v>0.85125161234655744</v>
      </c>
      <c r="L545" s="41">
        <v>1164372.730610006</v>
      </c>
      <c r="M545" s="42">
        <v>16.893029726315369</v>
      </c>
      <c r="N545" s="43">
        <v>2.5801628198974682</v>
      </c>
      <c r="O545" s="40">
        <v>0.86700755851325617</v>
      </c>
    </row>
    <row r="546" spans="1:15">
      <c r="A546" s="39">
        <v>1</v>
      </c>
      <c r="B546" s="39">
        <v>2010</v>
      </c>
      <c r="C546" s="39">
        <v>5</v>
      </c>
      <c r="D546" s="39">
        <v>75</v>
      </c>
      <c r="E546" s="39">
        <v>5</v>
      </c>
      <c r="F546" s="40">
        <v>3.6075946796435041E-2</v>
      </c>
      <c r="G546" s="40">
        <v>0.1657027532355311</v>
      </c>
      <c r="H546" s="41">
        <v>59759.556143620583</v>
      </c>
      <c r="I546" s="41">
        <v>9902.3229851312281</v>
      </c>
      <c r="J546" s="41">
        <v>274485.4637081835</v>
      </c>
      <c r="K546" s="40">
        <v>0.80772398128415157</v>
      </c>
      <c r="L546" s="41">
        <v>841923.45741387329</v>
      </c>
      <c r="M546" s="42">
        <v>14.088515908492901</v>
      </c>
      <c r="N546" s="43">
        <v>2.5447865065171631</v>
      </c>
      <c r="O546" s="40">
        <v>0.83429724676446892</v>
      </c>
    </row>
    <row r="547" spans="1:15">
      <c r="A547" s="39">
        <v>1</v>
      </c>
      <c r="B547" s="39">
        <v>2010</v>
      </c>
      <c r="C547" s="39">
        <v>5</v>
      </c>
      <c r="D547" s="39">
        <v>80</v>
      </c>
      <c r="E547" s="39">
        <v>5</v>
      </c>
      <c r="F547" s="40">
        <v>5.0557831596449436E-2</v>
      </c>
      <c r="G547" s="40">
        <v>0.22482395971926702</v>
      </c>
      <c r="H547" s="41">
        <v>49857.233158489355</v>
      </c>
      <c r="I547" s="41">
        <v>11209.100579338316</v>
      </c>
      <c r="J547" s="41">
        <v>221708.49155100048</v>
      </c>
      <c r="K547" s="40">
        <v>0.73840281829311138</v>
      </c>
      <c r="L547" s="41">
        <v>567437.99370568979</v>
      </c>
      <c r="M547" s="42">
        <v>11.381257196962409</v>
      </c>
      <c r="N547" s="43">
        <v>2.5397067725237386</v>
      </c>
      <c r="O547" s="40">
        <v>0.77517604028073295</v>
      </c>
    </row>
    <row r="548" spans="1:15">
      <c r="A548" s="39">
        <v>1</v>
      </c>
      <c r="B548" s="39">
        <v>2010</v>
      </c>
      <c r="C548" s="39">
        <v>5</v>
      </c>
      <c r="D548" s="39">
        <v>85</v>
      </c>
      <c r="E548" s="39">
        <v>5</v>
      </c>
      <c r="F548" s="40">
        <v>7.2370385352413594E-2</v>
      </c>
      <c r="G548" s="40">
        <v>0.30655474560518281</v>
      </c>
      <c r="H548" s="41">
        <v>38648.132579151039</v>
      </c>
      <c r="I548" s="41">
        <v>11847.768450917021</v>
      </c>
      <c r="J548" s="41">
        <v>163710.17500077322</v>
      </c>
      <c r="K548" s="40">
        <v>0.64172566577177914</v>
      </c>
      <c r="L548" s="41">
        <v>345729.50215468934</v>
      </c>
      <c r="M548" s="42">
        <v>8.9455681059528125</v>
      </c>
      <c r="N548" s="43">
        <v>2.5075063276834797</v>
      </c>
      <c r="O548" s="40">
        <v>0.69344525439481719</v>
      </c>
    </row>
    <row r="549" spans="1:15">
      <c r="A549" s="39">
        <v>1</v>
      </c>
      <c r="B549" s="39">
        <v>2010</v>
      </c>
      <c r="C549" s="39">
        <v>5</v>
      </c>
      <c r="D549" s="39">
        <v>90</v>
      </c>
      <c r="E549" s="39">
        <v>5</v>
      </c>
      <c r="F549" s="40">
        <v>0.10807788099816892</v>
      </c>
      <c r="G549" s="40">
        <v>0.42366365487804847</v>
      </c>
      <c r="H549" s="41">
        <v>26800.364128234018</v>
      </c>
      <c r="I549" s="41">
        <v>11354.340218630166</v>
      </c>
      <c r="J549" s="41">
        <v>105057.02104598568</v>
      </c>
      <c r="K549" s="40">
        <v>0.50787660953337843</v>
      </c>
      <c r="L549" s="41">
        <v>182019.32715391612</v>
      </c>
      <c r="M549" s="42">
        <v>6.7916736609619379</v>
      </c>
      <c r="N549" s="43">
        <v>2.4507722124010449</v>
      </c>
      <c r="O549" s="40">
        <v>0.57633634512195153</v>
      </c>
    </row>
    <row r="550" spans="1:15">
      <c r="A550" s="39">
        <v>1</v>
      </c>
      <c r="B550" s="39">
        <v>2010</v>
      </c>
      <c r="C550" s="39">
        <v>5</v>
      </c>
      <c r="D550" s="39">
        <v>95</v>
      </c>
      <c r="E550" s="39">
        <v>5</v>
      </c>
      <c r="F550" s="40">
        <v>0.1683899807196636</v>
      </c>
      <c r="G550" s="40">
        <v>0.5816782674673967</v>
      </c>
      <c r="H550" s="41">
        <v>15446.023909603851</v>
      </c>
      <c r="I550" s="41">
        <v>8984.6164269983528</v>
      </c>
      <c r="J550" s="41">
        <v>53356.003656511988</v>
      </c>
      <c r="K550" s="40">
        <v>0.30672550817686578</v>
      </c>
      <c r="L550" s="41">
        <v>76962.306107930461</v>
      </c>
      <c r="M550" s="42">
        <v>4.9826613346155524</v>
      </c>
      <c r="N550" s="43">
        <v>2.3427785052941532</v>
      </c>
      <c r="O550" s="40">
        <v>0.4183217325326033</v>
      </c>
    </row>
    <row r="551" spans="1:15">
      <c r="A551" s="39">
        <v>1</v>
      </c>
      <c r="B551" s="39">
        <v>2010</v>
      </c>
      <c r="C551" s="39">
        <v>5</v>
      </c>
      <c r="D551" s="39">
        <v>100</v>
      </c>
      <c r="E551" s="39">
        <v>0</v>
      </c>
      <c r="F551" s="40">
        <v>0.27371535613859937</v>
      </c>
      <c r="G551" s="40">
        <v>1</v>
      </c>
      <c r="H551" s="41">
        <v>6461.4074826054984</v>
      </c>
      <c r="I551" s="41">
        <v>6461.4074826054984</v>
      </c>
      <c r="J551" s="41">
        <v>23606.302451418473</v>
      </c>
      <c r="K551" s="40">
        <v>0</v>
      </c>
      <c r="L551" s="41">
        <v>23606.302451418473</v>
      </c>
      <c r="M551" s="42">
        <v>3.6534303888074033</v>
      </c>
      <c r="N551" s="43">
        <v>3.6534303888074033</v>
      </c>
      <c r="O551" s="40">
        <v>0</v>
      </c>
    </row>
    <row r="552" spans="1:15">
      <c r="A552" s="44">
        <v>2</v>
      </c>
      <c r="B552" s="44">
        <v>2010</v>
      </c>
      <c r="C552" s="44">
        <v>5</v>
      </c>
      <c r="D552" s="44">
        <v>0</v>
      </c>
      <c r="E552" s="44">
        <v>1</v>
      </c>
      <c r="F552" s="45">
        <v>9.3692879178372494E-3</v>
      </c>
      <c r="G552" s="45">
        <v>9.2891511382970204E-3</v>
      </c>
      <c r="H552" s="46">
        <v>100000</v>
      </c>
      <c r="I552" s="46">
        <v>928.91511382970202</v>
      </c>
      <c r="J552" s="46">
        <v>99144.686552030835</v>
      </c>
      <c r="K552" s="45">
        <v>0.98998159815655051</v>
      </c>
      <c r="L552" s="46">
        <v>8215299.6671941644</v>
      </c>
      <c r="M552" s="47">
        <v>82.152996671941651</v>
      </c>
      <c r="N552" s="48">
        <v>7.923400616994429E-2</v>
      </c>
      <c r="O552" s="45">
        <v>0.99071084886170302</v>
      </c>
    </row>
    <row r="553" spans="1:15">
      <c r="A553" s="44">
        <v>2</v>
      </c>
      <c r="B553" s="44">
        <v>2010</v>
      </c>
      <c r="C553" s="44">
        <v>5</v>
      </c>
      <c r="D553" s="44">
        <v>1</v>
      </c>
      <c r="E553" s="44">
        <v>4</v>
      </c>
      <c r="F553" s="45">
        <v>4.4420755376706531E-4</v>
      </c>
      <c r="G553" s="45">
        <v>1.7748653253925914E-3</v>
      </c>
      <c r="H553" s="46">
        <v>99071.084886170298</v>
      </c>
      <c r="I553" s="46">
        <v>175.83783331348968</v>
      </c>
      <c r="J553" s="46">
        <v>395846.11252624443</v>
      </c>
      <c r="K553" s="45">
        <v>0.99839901974848233</v>
      </c>
      <c r="L553" s="46">
        <v>8116154.9806421334</v>
      </c>
      <c r="M553" s="47">
        <v>81.922540668322668</v>
      </c>
      <c r="N553" s="48">
        <v>1.5077774209407231</v>
      </c>
      <c r="O553" s="45">
        <v>0.99822513467460738</v>
      </c>
    </row>
    <row r="554" spans="1:15">
      <c r="A554" s="44">
        <v>2</v>
      </c>
      <c r="B554" s="44">
        <v>2010</v>
      </c>
      <c r="C554" s="44">
        <v>5</v>
      </c>
      <c r="D554" s="44">
        <v>5</v>
      </c>
      <c r="E554" s="44">
        <v>5</v>
      </c>
      <c r="F554" s="45">
        <v>2.2493534594677969E-4</v>
      </c>
      <c r="G554" s="45">
        <v>1.1240446363110779E-3</v>
      </c>
      <c r="H554" s="46">
        <v>98895.247052856808</v>
      </c>
      <c r="I554" s="46">
        <v>111.16267200642324</v>
      </c>
      <c r="J554" s="46">
        <v>494198.32858426799</v>
      </c>
      <c r="K554" s="45">
        <v>0.99879098929062993</v>
      </c>
      <c r="L554" s="46">
        <v>7720308.8681158889</v>
      </c>
      <c r="M554" s="47">
        <v>78.065519811984444</v>
      </c>
      <c r="N554" s="48">
        <v>2.5</v>
      </c>
      <c r="O554" s="45">
        <v>0.99887595536368889</v>
      </c>
    </row>
    <row r="555" spans="1:15">
      <c r="A555" s="44">
        <v>2</v>
      </c>
      <c r="B555" s="44">
        <v>2010</v>
      </c>
      <c r="C555" s="44">
        <v>5</v>
      </c>
      <c r="D555" s="44">
        <v>10</v>
      </c>
      <c r="E555" s="44">
        <v>5</v>
      </c>
      <c r="F555" s="45">
        <v>2.5898204987308233E-4</v>
      </c>
      <c r="G555" s="45">
        <v>1.2940723955611952E-3</v>
      </c>
      <c r="H555" s="46">
        <v>98784.084380850385</v>
      </c>
      <c r="I555" s="46">
        <v>127.83375671804242</v>
      </c>
      <c r="J555" s="46">
        <v>493600.83751245681</v>
      </c>
      <c r="K555" s="45">
        <v>0.99837567142643013</v>
      </c>
      <c r="L555" s="46">
        <v>7226110.5395316212</v>
      </c>
      <c r="M555" s="47">
        <v>73.150554411905105</v>
      </c>
      <c r="N555" s="48">
        <v>2.5</v>
      </c>
      <c r="O555" s="45">
        <v>0.99870592760443877</v>
      </c>
    </row>
    <row r="556" spans="1:15">
      <c r="A556" s="44">
        <v>2</v>
      </c>
      <c r="B556" s="44">
        <v>2010</v>
      </c>
      <c r="C556" s="44">
        <v>5</v>
      </c>
      <c r="D556" s="44">
        <v>15</v>
      </c>
      <c r="E556" s="44">
        <v>5</v>
      </c>
      <c r="F556" s="45">
        <v>4.1562899120253999E-4</v>
      </c>
      <c r="G556" s="45">
        <v>2.0761135561419759E-3</v>
      </c>
      <c r="H556" s="46">
        <v>98656.250624132343</v>
      </c>
      <c r="I556" s="46">
        <v>204.82157931891561</v>
      </c>
      <c r="J556" s="46">
        <v>492799.06756814732</v>
      </c>
      <c r="K556" s="45">
        <v>0.99764541685531238</v>
      </c>
      <c r="L556" s="46">
        <v>6732509.7020191643</v>
      </c>
      <c r="M556" s="47">
        <v>68.242099810473874</v>
      </c>
      <c r="N556" s="48">
        <v>2.645826410880308</v>
      </c>
      <c r="O556" s="45">
        <v>0.99792388644385799</v>
      </c>
    </row>
    <row r="557" spans="1:15">
      <c r="A557" s="44">
        <v>2</v>
      </c>
      <c r="B557" s="44">
        <v>2010</v>
      </c>
      <c r="C557" s="44">
        <v>5</v>
      </c>
      <c r="D557" s="44">
        <v>20</v>
      </c>
      <c r="E557" s="44">
        <v>5</v>
      </c>
      <c r="F557" s="45">
        <v>5.2368052638931256E-4</v>
      </c>
      <c r="G557" s="45">
        <v>2.6151131785575807E-3</v>
      </c>
      <c r="H557" s="46">
        <v>98451.429044813427</v>
      </c>
      <c r="I557" s="46">
        <v>257.46162954291503</v>
      </c>
      <c r="J557" s="46">
        <v>491638.73118993361</v>
      </c>
      <c r="K557" s="45">
        <v>0.99704487779778572</v>
      </c>
      <c r="L557" s="46">
        <v>6239710.6344510168</v>
      </c>
      <c r="M557" s="47">
        <v>63.378568447298065</v>
      </c>
      <c r="N557" s="48">
        <v>2.5980341799613433</v>
      </c>
      <c r="O557" s="45">
        <v>0.99738488682144244</v>
      </c>
    </row>
    <row r="558" spans="1:15">
      <c r="A558" s="44">
        <v>2</v>
      </c>
      <c r="B558" s="44">
        <v>2010</v>
      </c>
      <c r="C558" s="44">
        <v>5</v>
      </c>
      <c r="D558" s="44">
        <v>25</v>
      </c>
      <c r="E558" s="44">
        <v>5</v>
      </c>
      <c r="F558" s="45">
        <v>6.688727838229519E-4</v>
      </c>
      <c r="G558" s="45">
        <v>3.3390237901618348E-3</v>
      </c>
      <c r="H558" s="46">
        <v>98193.967415270512</v>
      </c>
      <c r="I558" s="46">
        <v>327.87199324996618</v>
      </c>
      <c r="J558" s="46">
        <v>490185.87865992577</v>
      </c>
      <c r="K558" s="45">
        <v>0.99613910009478024</v>
      </c>
      <c r="L558" s="46">
        <v>5748071.9032610832</v>
      </c>
      <c r="M558" s="47">
        <v>58.537933180273754</v>
      </c>
      <c r="N558" s="48">
        <v>2.6089497347548805</v>
      </c>
      <c r="O558" s="45">
        <v>0.99666097620983818</v>
      </c>
    </row>
    <row r="559" spans="1:15">
      <c r="A559" s="44">
        <v>2</v>
      </c>
      <c r="B559" s="44">
        <v>2010</v>
      </c>
      <c r="C559" s="44">
        <v>5</v>
      </c>
      <c r="D559" s="44">
        <v>30</v>
      </c>
      <c r="E559" s="44">
        <v>5</v>
      </c>
      <c r="F559" s="45">
        <v>8.8938416216032565E-4</v>
      </c>
      <c r="G559" s="45">
        <v>4.4374953702422323E-3</v>
      </c>
      <c r="H559" s="46">
        <v>97866.095422020546</v>
      </c>
      <c r="I559" s="46">
        <v>434.28034533889149</v>
      </c>
      <c r="J559" s="46">
        <v>488293.3200474676</v>
      </c>
      <c r="K559" s="45">
        <v>0.99495888288769585</v>
      </c>
      <c r="L559" s="46">
        <v>5257886.0246011578</v>
      </c>
      <c r="M559" s="47">
        <v>53.725307032307505</v>
      </c>
      <c r="N559" s="48">
        <v>2.6117798703834953</v>
      </c>
      <c r="O559" s="45">
        <v>0.99556250462975782</v>
      </c>
    </row>
    <row r="560" spans="1:15">
      <c r="A560" s="44">
        <v>2</v>
      </c>
      <c r="B560" s="44">
        <v>2010</v>
      </c>
      <c r="C560" s="44">
        <v>5</v>
      </c>
      <c r="D560" s="44">
        <v>35</v>
      </c>
      <c r="E560" s="44">
        <v>5</v>
      </c>
      <c r="F560" s="45">
        <v>1.1540480717136641E-3</v>
      </c>
      <c r="G560" s="45">
        <v>5.7545189330719063E-3</v>
      </c>
      <c r="H560" s="46">
        <v>97431.815076681654</v>
      </c>
      <c r="I560" s="46">
        <v>560.67322454233363</v>
      </c>
      <c r="J560" s="46">
        <v>485831.77623595251</v>
      </c>
      <c r="K560" s="45">
        <v>0.99301957507643779</v>
      </c>
      <c r="L560" s="46">
        <v>4769592.7045536898</v>
      </c>
      <c r="M560" s="47">
        <v>48.953134053798365</v>
      </c>
      <c r="N560" s="48">
        <v>2.6326689248640509</v>
      </c>
      <c r="O560" s="45">
        <v>0.99424548106692812</v>
      </c>
    </row>
    <row r="561" spans="1:15">
      <c r="A561" s="44">
        <v>2</v>
      </c>
      <c r="B561" s="44">
        <v>2010</v>
      </c>
      <c r="C561" s="44">
        <v>5</v>
      </c>
      <c r="D561" s="44">
        <v>40</v>
      </c>
      <c r="E561" s="44">
        <v>5</v>
      </c>
      <c r="F561" s="45">
        <v>1.7008452130770899E-3</v>
      </c>
      <c r="G561" s="45">
        <v>8.4705985507586117E-3</v>
      </c>
      <c r="H561" s="46">
        <v>96871.141852139321</v>
      </c>
      <c r="I561" s="46">
        <v>820.55655378305528</v>
      </c>
      <c r="J561" s="46">
        <v>482440.46399645659</v>
      </c>
      <c r="K561" s="45">
        <v>0.98942433758855763</v>
      </c>
      <c r="L561" s="46">
        <v>4283760.9283177378</v>
      </c>
      <c r="M561" s="47">
        <v>44.221228803685605</v>
      </c>
      <c r="N561" s="48">
        <v>2.6659192405324701</v>
      </c>
      <c r="O561" s="45">
        <v>0.9915294014492414</v>
      </c>
    </row>
    <row r="562" spans="1:15">
      <c r="A562" s="44">
        <v>2</v>
      </c>
      <c r="B562" s="44">
        <v>2010</v>
      </c>
      <c r="C562" s="44">
        <v>5</v>
      </c>
      <c r="D562" s="44">
        <v>45</v>
      </c>
      <c r="E562" s="44">
        <v>5</v>
      </c>
      <c r="F562" s="45">
        <v>2.6030833090209178E-3</v>
      </c>
      <c r="G562" s="45">
        <v>1.2936427744609066E-2</v>
      </c>
      <c r="H562" s="46">
        <v>96050.585298356265</v>
      </c>
      <c r="I562" s="46">
        <v>1242.5514565396006</v>
      </c>
      <c r="J562" s="46">
        <v>477338.33651561046</v>
      </c>
      <c r="K562" s="45">
        <v>0.9846045560154667</v>
      </c>
      <c r="L562" s="46">
        <v>3801320.4643212813</v>
      </c>
      <c r="M562" s="47">
        <v>39.576234257328714</v>
      </c>
      <c r="N562" s="48">
        <v>2.6543506823550409</v>
      </c>
      <c r="O562" s="45">
        <v>0.98706357225539099</v>
      </c>
    </row>
    <row r="563" spans="1:15">
      <c r="A563" s="44">
        <v>2</v>
      </c>
      <c r="B563" s="44">
        <v>2010</v>
      </c>
      <c r="C563" s="44">
        <v>5</v>
      </c>
      <c r="D563" s="44">
        <v>50</v>
      </c>
      <c r="E563" s="44">
        <v>5</v>
      </c>
      <c r="F563" s="45">
        <v>3.6621097657451567E-3</v>
      </c>
      <c r="G563" s="45">
        <v>1.8154085379448969E-2</v>
      </c>
      <c r="H563" s="46">
        <v>94808.033841816665</v>
      </c>
      <c r="I563" s="46">
        <v>1721.1531410220196</v>
      </c>
      <c r="J563" s="46">
        <v>469989.50089411408</v>
      </c>
      <c r="K563" s="45">
        <v>0.97780509627711376</v>
      </c>
      <c r="L563" s="46">
        <v>3323982.1278056707</v>
      </c>
      <c r="M563" s="47">
        <v>35.060131437295695</v>
      </c>
      <c r="N563" s="48">
        <v>2.6465381153916496</v>
      </c>
      <c r="O563" s="45">
        <v>0.98184591462055104</v>
      </c>
    </row>
    <row r="564" spans="1:15">
      <c r="A564" s="44">
        <v>2</v>
      </c>
      <c r="B564" s="44">
        <v>2010</v>
      </c>
      <c r="C564" s="44">
        <v>5</v>
      </c>
      <c r="D564" s="44">
        <v>55</v>
      </c>
      <c r="E564" s="44">
        <v>5</v>
      </c>
      <c r="F564" s="45">
        <v>5.4559168593707186E-3</v>
      </c>
      <c r="G564" s="45">
        <v>2.693516987494814E-2</v>
      </c>
      <c r="H564" s="46">
        <v>93086.880700794645</v>
      </c>
      <c r="I564" s="46">
        <v>2507.3109448049363</v>
      </c>
      <c r="J564" s="46">
        <v>459558.12917100184</v>
      </c>
      <c r="K564" s="45">
        <v>0.96678589568954565</v>
      </c>
      <c r="L564" s="46">
        <v>2853992.6269115568</v>
      </c>
      <c r="M564" s="47">
        <v>30.659450670444407</v>
      </c>
      <c r="N564" s="48">
        <v>2.6563440026667418</v>
      </c>
      <c r="O564" s="45">
        <v>0.97306483012505185</v>
      </c>
    </row>
    <row r="565" spans="1:15">
      <c r="A565" s="44">
        <v>2</v>
      </c>
      <c r="B565" s="44">
        <v>2010</v>
      </c>
      <c r="C565" s="44">
        <v>5</v>
      </c>
      <c r="D565" s="44">
        <v>60</v>
      </c>
      <c r="E565" s="44">
        <v>5</v>
      </c>
      <c r="F565" s="45">
        <v>8.1911131260684993E-3</v>
      </c>
      <c r="G565" s="45">
        <v>4.017754804949656E-2</v>
      </c>
      <c r="H565" s="46">
        <v>90579.569755989709</v>
      </c>
      <c r="I565" s="46">
        <v>3639.2650161740021</v>
      </c>
      <c r="J565" s="46">
        <v>444294.31753199891</v>
      </c>
      <c r="K565" s="45">
        <v>0.95288448253914948</v>
      </c>
      <c r="L565" s="46">
        <v>2394434.4977405551</v>
      </c>
      <c r="M565" s="47">
        <v>26.434597825876949</v>
      </c>
      <c r="N565" s="48">
        <v>2.6359151615194452</v>
      </c>
      <c r="O565" s="45">
        <v>0.95982245195050342</v>
      </c>
    </row>
    <row r="566" spans="1:15">
      <c r="A566" s="44">
        <v>2</v>
      </c>
      <c r="B566" s="44">
        <v>2010</v>
      </c>
      <c r="C566" s="44">
        <v>5</v>
      </c>
      <c r="D566" s="44">
        <v>65</v>
      </c>
      <c r="E566" s="44">
        <v>5</v>
      </c>
      <c r="F566" s="45">
        <v>1.1370298816980732E-2</v>
      </c>
      <c r="G566" s="45">
        <v>5.5368369375388686E-2</v>
      </c>
      <c r="H566" s="46">
        <v>86940.304739815707</v>
      </c>
      <c r="I566" s="46">
        <v>4813.7429064429743</v>
      </c>
      <c r="J566" s="46">
        <v>423361.16085656337</v>
      </c>
      <c r="K566" s="45">
        <v>0.92949549919856689</v>
      </c>
      <c r="L566" s="46">
        <v>1950140.1802085561</v>
      </c>
      <c r="M566" s="47">
        <v>22.430795314609224</v>
      </c>
      <c r="N566" s="48">
        <v>2.6441693993801323</v>
      </c>
      <c r="O566" s="45">
        <v>0.94463163062461131</v>
      </c>
    </row>
    <row r="567" spans="1:15">
      <c r="A567" s="44">
        <v>2</v>
      </c>
      <c r="B567" s="44">
        <v>2010</v>
      </c>
      <c r="C567" s="44">
        <v>5</v>
      </c>
      <c r="D567" s="44">
        <v>70</v>
      </c>
      <c r="E567" s="44">
        <v>5</v>
      </c>
      <c r="F567" s="45">
        <v>1.8334158536862533E-2</v>
      </c>
      <c r="G567" s="45">
        <v>8.7848761900180969E-2</v>
      </c>
      <c r="H567" s="46">
        <v>82126.561833372733</v>
      </c>
      <c r="I567" s="46">
        <v>7214.7167761804449</v>
      </c>
      <c r="J567" s="46">
        <v>393512.29355165613</v>
      </c>
      <c r="K567" s="45">
        <v>0.8980353588404778</v>
      </c>
      <c r="L567" s="46">
        <v>1526779.0193519928</v>
      </c>
      <c r="M567" s="47">
        <v>18.590562970962882</v>
      </c>
      <c r="N567" s="48">
        <v>2.6270010110817767</v>
      </c>
      <c r="O567" s="45">
        <v>0.91215123809981902</v>
      </c>
    </row>
    <row r="568" spans="1:15">
      <c r="A568" s="44">
        <v>2</v>
      </c>
      <c r="B568" s="44">
        <v>2010</v>
      </c>
      <c r="C568" s="44">
        <v>5</v>
      </c>
      <c r="D568" s="44">
        <v>75</v>
      </c>
      <c r="E568" s="44">
        <v>5</v>
      </c>
      <c r="F568" s="45">
        <v>2.5127202573531713E-2</v>
      </c>
      <c r="G568" s="45">
        <v>0.11853466823688005</v>
      </c>
      <c r="H568" s="46">
        <v>74911.845057192288</v>
      </c>
      <c r="I568" s="46">
        <v>8879.6507008668559</v>
      </c>
      <c r="J568" s="46">
        <v>353387.95374780096</v>
      </c>
      <c r="K568" s="45">
        <v>0.85104850544944843</v>
      </c>
      <c r="L568" s="46">
        <v>1133266.7258003366</v>
      </c>
      <c r="M568" s="47">
        <v>15.128004455572166</v>
      </c>
      <c r="N568" s="48">
        <v>2.6157540142774209</v>
      </c>
      <c r="O568" s="45">
        <v>0.88146533176311992</v>
      </c>
    </row>
    <row r="569" spans="1:15">
      <c r="A569" s="44">
        <v>2</v>
      </c>
      <c r="B569" s="44">
        <v>2010</v>
      </c>
      <c r="C569" s="44">
        <v>5</v>
      </c>
      <c r="D569" s="44">
        <v>80</v>
      </c>
      <c r="E569" s="44">
        <v>5</v>
      </c>
      <c r="F569" s="45">
        <v>4.1085579694407882E-2</v>
      </c>
      <c r="G569" s="45">
        <v>0.18712841703154032</v>
      </c>
      <c r="H569" s="46">
        <v>66032.194356325432</v>
      </c>
      <c r="I569" s="46">
        <v>12356.500003018184</v>
      </c>
      <c r="J569" s="46">
        <v>300750.28988090483</v>
      </c>
      <c r="K569" s="45">
        <v>0.76670794592299885</v>
      </c>
      <c r="L569" s="46">
        <v>779878.77205253555</v>
      </c>
      <c r="M569" s="47">
        <v>11.810583907663649</v>
      </c>
      <c r="N569" s="48">
        <v>2.6198209935225578</v>
      </c>
      <c r="O569" s="45">
        <v>0.81287158296845963</v>
      </c>
    </row>
    <row r="570" spans="1:15">
      <c r="A570" s="44">
        <v>2</v>
      </c>
      <c r="B570" s="44">
        <v>2010</v>
      </c>
      <c r="C570" s="44">
        <v>5</v>
      </c>
      <c r="D570" s="44">
        <v>85</v>
      </c>
      <c r="E570" s="44">
        <v>5</v>
      </c>
      <c r="F570" s="45">
        <v>6.7353009948932382E-2</v>
      </c>
      <c r="G570" s="45">
        <v>0.28934458315682521</v>
      </c>
      <c r="H570" s="46">
        <v>53675.694353307248</v>
      </c>
      <c r="I570" s="46">
        <v>15530.771408310844</v>
      </c>
      <c r="J570" s="46">
        <v>230587.63699033501</v>
      </c>
      <c r="K570" s="45">
        <v>0.64623549626264043</v>
      </c>
      <c r="L570" s="46">
        <v>479128.48217163078</v>
      </c>
      <c r="M570" s="47">
        <v>8.9263583442048038</v>
      </c>
      <c r="N570" s="48">
        <v>2.56671231694399</v>
      </c>
      <c r="O570" s="45">
        <v>0.71065541684317479</v>
      </c>
    </row>
    <row r="571" spans="1:15">
      <c r="A571" s="44">
        <v>2</v>
      </c>
      <c r="B571" s="44">
        <v>2010</v>
      </c>
      <c r="C571" s="44">
        <v>5</v>
      </c>
      <c r="D571" s="44">
        <v>90</v>
      </c>
      <c r="E571" s="44">
        <v>5</v>
      </c>
      <c r="F571" s="45">
        <v>0.11098626131781691</v>
      </c>
      <c r="G571" s="45">
        <v>0.43357008342918824</v>
      </c>
      <c r="H571" s="46">
        <v>38144.922944996404</v>
      </c>
      <c r="I571" s="46">
        <v>16538.497423662047</v>
      </c>
      <c r="J571" s="46">
        <v>149013.91602247872</v>
      </c>
      <c r="K571" s="45">
        <v>0.48619176617315663</v>
      </c>
      <c r="L571" s="46">
        <v>248540.84518129576</v>
      </c>
      <c r="M571" s="47">
        <v>6.5156992331504417</v>
      </c>
      <c r="N571" s="48">
        <v>2.477963225194403</v>
      </c>
      <c r="O571" s="45">
        <v>0.56642991657081176</v>
      </c>
    </row>
    <row r="572" spans="1:15">
      <c r="A572" s="44">
        <v>2</v>
      </c>
      <c r="B572" s="44">
        <v>2010</v>
      </c>
      <c r="C572" s="44">
        <v>5</v>
      </c>
      <c r="D572" s="44">
        <v>95</v>
      </c>
      <c r="E572" s="44">
        <v>5</v>
      </c>
      <c r="F572" s="45">
        <v>0.18383409387056038</v>
      </c>
      <c r="G572" s="45">
        <v>0.61642119267976425</v>
      </c>
      <c r="H572" s="46">
        <v>21606.425521334357</v>
      </c>
      <c r="I572" s="46">
        <v>13318.65858940742</v>
      </c>
      <c r="J572" s="46">
        <v>72449.339015347374</v>
      </c>
      <c r="K572" s="45">
        <v>0.27206295192993879</v>
      </c>
      <c r="L572" s="46">
        <v>99526.929158817031</v>
      </c>
      <c r="M572" s="47">
        <v>4.6063579123970948</v>
      </c>
      <c r="N572" s="48">
        <v>2.3283504226451104</v>
      </c>
      <c r="O572" s="45">
        <v>0.38357880732023575</v>
      </c>
    </row>
    <row r="573" spans="1:15">
      <c r="A573" s="44">
        <v>2</v>
      </c>
      <c r="B573" s="44">
        <v>2010</v>
      </c>
      <c r="C573" s="44">
        <v>5</v>
      </c>
      <c r="D573" s="44">
        <v>100</v>
      </c>
      <c r="E573" s="44">
        <v>0</v>
      </c>
      <c r="F573" s="45">
        <v>0.30607476101139336</v>
      </c>
      <c r="G573" s="45">
        <v>1</v>
      </c>
      <c r="H573" s="46">
        <v>8287.7669319269371</v>
      </c>
      <c r="I573" s="46">
        <v>8287.7669319269371</v>
      </c>
      <c r="J573" s="46">
        <v>27077.590143469661</v>
      </c>
      <c r="K573" s="45">
        <v>0</v>
      </c>
      <c r="L573" s="46">
        <v>27077.590143469661</v>
      </c>
      <c r="M573" s="47">
        <v>3.2671756295605694</v>
      </c>
      <c r="N573" s="48">
        <v>3.2671756295605694</v>
      </c>
      <c r="O573" s="45">
        <v>0</v>
      </c>
    </row>
    <row r="574" spans="1:15">
      <c r="A574" s="39">
        <v>1</v>
      </c>
      <c r="B574" s="39">
        <v>2015</v>
      </c>
      <c r="C574" s="39">
        <v>5</v>
      </c>
      <c r="D574" s="39">
        <v>0</v>
      </c>
      <c r="E574" s="39">
        <v>1</v>
      </c>
      <c r="F574" s="40">
        <v>8.7612700837439335E-3</v>
      </c>
      <c r="G574" s="40">
        <v>8.6903482431260632E-3</v>
      </c>
      <c r="H574" s="41">
        <v>100000</v>
      </c>
      <c r="I574" s="41">
        <v>869.03482431260636</v>
      </c>
      <c r="J574" s="41">
        <v>99190.507312982081</v>
      </c>
      <c r="K574" s="40">
        <v>0.99065214044667727</v>
      </c>
      <c r="L574" s="41">
        <v>7615356.5070348792</v>
      </c>
      <c r="M574" s="42">
        <v>76.15356507034879</v>
      </c>
      <c r="N574" s="43">
        <v>6.8515248904768719E-2</v>
      </c>
      <c r="O574" s="40">
        <v>0.99130965175687391</v>
      </c>
    </row>
    <row r="575" spans="1:15">
      <c r="A575" s="39">
        <v>1</v>
      </c>
      <c r="B575" s="39">
        <v>2015</v>
      </c>
      <c r="C575" s="39">
        <v>5</v>
      </c>
      <c r="D575" s="39">
        <v>1</v>
      </c>
      <c r="E575" s="39">
        <v>4</v>
      </c>
      <c r="F575" s="40">
        <v>4.1295281412369897E-4</v>
      </c>
      <c r="G575" s="40">
        <v>1.6501937128160287E-3</v>
      </c>
      <c r="H575" s="41">
        <v>99130.965175687394</v>
      </c>
      <c r="I575" s="41">
        <v>163.58529547830403</v>
      </c>
      <c r="J575" s="41">
        <v>396135.56291035662</v>
      </c>
      <c r="K575" s="40">
        <v>0.99834002597006422</v>
      </c>
      <c r="L575" s="41">
        <v>7516165.9997218968</v>
      </c>
      <c r="M575" s="42">
        <v>75.820567129566214</v>
      </c>
      <c r="N575" s="43">
        <v>1.6263282634441771</v>
      </c>
      <c r="O575" s="40">
        <v>0.99834980628718395</v>
      </c>
    </row>
    <row r="576" spans="1:15">
      <c r="A576" s="39">
        <v>1</v>
      </c>
      <c r="B576" s="39">
        <v>2015</v>
      </c>
      <c r="C576" s="39">
        <v>5</v>
      </c>
      <c r="D576" s="39">
        <v>5</v>
      </c>
      <c r="E576" s="39">
        <v>5</v>
      </c>
      <c r="F576" s="40">
        <v>2.6940748481005223E-4</v>
      </c>
      <c r="G576" s="40">
        <v>1.3461307797812455E-3</v>
      </c>
      <c r="H576" s="41">
        <v>98967.37988020909</v>
      </c>
      <c r="I576" s="41">
        <v>133.22303625105997</v>
      </c>
      <c r="J576" s="41">
        <v>494503.84181041783</v>
      </c>
      <c r="K576" s="40">
        <v>0.99840558633773113</v>
      </c>
      <c r="L576" s="41">
        <v>7120030.4368115403</v>
      </c>
      <c r="M576" s="42">
        <v>71.943204371275485</v>
      </c>
      <c r="N576" s="43">
        <v>2.5</v>
      </c>
      <c r="O576" s="40">
        <v>0.9986538692202187</v>
      </c>
    </row>
    <row r="577" spans="1:15">
      <c r="A577" s="39">
        <v>1</v>
      </c>
      <c r="B577" s="39">
        <v>2015</v>
      </c>
      <c r="C577" s="39">
        <v>5</v>
      </c>
      <c r="D577" s="39">
        <v>10</v>
      </c>
      <c r="E577" s="39">
        <v>5</v>
      </c>
      <c r="F577" s="40">
        <v>3.6894623301201153E-4</v>
      </c>
      <c r="G577" s="40">
        <v>1.8430312164984311E-3</v>
      </c>
      <c r="H577" s="41">
        <v>98834.15684395803</v>
      </c>
      <c r="I577" s="41">
        <v>182.15443631971721</v>
      </c>
      <c r="J577" s="41">
        <v>493715.39812899084</v>
      </c>
      <c r="K577" s="40">
        <v>0.99546473001972291</v>
      </c>
      <c r="L577" s="41">
        <v>6625526.5950011229</v>
      </c>
      <c r="M577" s="42">
        <v>67.036810011559865</v>
      </c>
      <c r="N577" s="43">
        <v>2.5</v>
      </c>
      <c r="O577" s="40">
        <v>0.99815696878350157</v>
      </c>
    </row>
    <row r="578" spans="1:15">
      <c r="A578" s="39">
        <v>1</v>
      </c>
      <c r="B578" s="39">
        <v>2015</v>
      </c>
      <c r="C578" s="39">
        <v>5</v>
      </c>
      <c r="D578" s="39">
        <v>15</v>
      </c>
      <c r="E578" s="39">
        <v>5</v>
      </c>
      <c r="F578" s="40">
        <v>1.7331517399821034E-3</v>
      </c>
      <c r="G578" s="40">
        <v>8.6344212375971136E-3</v>
      </c>
      <c r="H578" s="41">
        <v>98652.002407638312</v>
      </c>
      <c r="I578" s="41">
        <v>851.80294471998059</v>
      </c>
      <c r="J578" s="41">
        <v>491476.2655050559</v>
      </c>
      <c r="K578" s="40">
        <v>0.98864893022137923</v>
      </c>
      <c r="L578" s="41">
        <v>6131811.1968721319</v>
      </c>
      <c r="M578" s="42">
        <v>62.155972988110022</v>
      </c>
      <c r="N578" s="43">
        <v>2.9059164514604645</v>
      </c>
      <c r="O578" s="40">
        <v>0.99136557876240283</v>
      </c>
    </row>
    <row r="579" spans="1:15">
      <c r="A579" s="39">
        <v>1</v>
      </c>
      <c r="B579" s="39">
        <v>2015</v>
      </c>
      <c r="C579" s="39">
        <v>5</v>
      </c>
      <c r="D579" s="39">
        <v>20</v>
      </c>
      <c r="E579" s="39">
        <v>5</v>
      </c>
      <c r="F579" s="40">
        <v>2.6343227520342857E-3</v>
      </c>
      <c r="G579" s="40">
        <v>1.3088018271996403E-2</v>
      </c>
      <c r="H579" s="41">
        <v>97800.199462918332</v>
      </c>
      <c r="I579" s="41">
        <v>1280.0107975755818</v>
      </c>
      <c r="J579" s="41">
        <v>485897.48412077205</v>
      </c>
      <c r="K579" s="40">
        <v>0.98689740762108524</v>
      </c>
      <c r="L579" s="41">
        <v>5640334.931367076</v>
      </c>
      <c r="M579" s="42">
        <v>57.672018690571797</v>
      </c>
      <c r="N579" s="43">
        <v>2.5754007702920356</v>
      </c>
      <c r="O579" s="40">
        <v>0.98691198172800365</v>
      </c>
    </row>
    <row r="580" spans="1:15">
      <c r="A580" s="39">
        <v>1</v>
      </c>
      <c r="B580" s="39">
        <v>2015</v>
      </c>
      <c r="C580" s="39">
        <v>5</v>
      </c>
      <c r="D580" s="39">
        <v>25</v>
      </c>
      <c r="E580" s="39">
        <v>5</v>
      </c>
      <c r="F580" s="40">
        <v>2.5553992941553861E-3</v>
      </c>
      <c r="G580" s="40">
        <v>1.2695717991103377E-2</v>
      </c>
      <c r="H580" s="41">
        <v>96520.18866534275</v>
      </c>
      <c r="I580" s="41">
        <v>1225.3930957432895</v>
      </c>
      <c r="J580" s="41">
        <v>479530.96744839736</v>
      </c>
      <c r="K580" s="40">
        <v>0.9871794423482031</v>
      </c>
      <c r="L580" s="41">
        <v>5154437.4472463038</v>
      </c>
      <c r="M580" s="42">
        <v>53.402687235909788</v>
      </c>
      <c r="N580" s="43">
        <v>2.4947011787640125</v>
      </c>
      <c r="O580" s="40">
        <v>0.98730428200889664</v>
      </c>
    </row>
    <row r="581" spans="1:15">
      <c r="A581" s="39">
        <v>1</v>
      </c>
      <c r="B581" s="39">
        <v>2015</v>
      </c>
      <c r="C581" s="39">
        <v>5</v>
      </c>
      <c r="D581" s="39">
        <v>30</v>
      </c>
      <c r="E581" s="39">
        <v>5</v>
      </c>
      <c r="F581" s="40">
        <v>2.6346379702668235E-3</v>
      </c>
      <c r="G581" s="40">
        <v>1.3087735973709614E-2</v>
      </c>
      <c r="H581" s="41">
        <v>95294.795569599461</v>
      </c>
      <c r="I581" s="41">
        <v>1247.1931240835402</v>
      </c>
      <c r="J581" s="41">
        <v>473383.11303440324</v>
      </c>
      <c r="K581" s="40">
        <v>0.98635518179139281</v>
      </c>
      <c r="L581" s="41">
        <v>4674906.4797979062</v>
      </c>
      <c r="M581" s="42">
        <v>49.057311596660533</v>
      </c>
      <c r="N581" s="43">
        <v>2.5217432217121276</v>
      </c>
      <c r="O581" s="40">
        <v>0.9869122640262904</v>
      </c>
    </row>
    <row r="582" spans="1:15">
      <c r="A582" s="39">
        <v>1</v>
      </c>
      <c r="B582" s="39">
        <v>2015</v>
      </c>
      <c r="C582" s="39">
        <v>5</v>
      </c>
      <c r="D582" s="39">
        <v>35</v>
      </c>
      <c r="E582" s="39">
        <v>5</v>
      </c>
      <c r="F582" s="40">
        <v>2.9122393894732189E-3</v>
      </c>
      <c r="G582" s="40">
        <v>1.4458573093129371E-2</v>
      </c>
      <c r="H582" s="41">
        <v>94047.60244551592</v>
      </c>
      <c r="I582" s="41">
        <v>1359.7941341920668</v>
      </c>
      <c r="J582" s="41">
        <v>466923.88651402429</v>
      </c>
      <c r="K582" s="40">
        <v>0.98389769672062133</v>
      </c>
      <c r="L582" s="41">
        <v>4201523.3667635033</v>
      </c>
      <c r="M582" s="42">
        <v>44.67443355823503</v>
      </c>
      <c r="N582" s="43">
        <v>2.5627739300960748</v>
      </c>
      <c r="O582" s="40">
        <v>0.98554142690687063</v>
      </c>
    </row>
    <row r="583" spans="1:15">
      <c r="A583" s="39">
        <v>1</v>
      </c>
      <c r="B583" s="39">
        <v>2015</v>
      </c>
      <c r="C583" s="39">
        <v>5</v>
      </c>
      <c r="D583" s="39">
        <v>40</v>
      </c>
      <c r="E583" s="39">
        <v>5</v>
      </c>
      <c r="F583" s="40">
        <v>3.6663002166487713E-3</v>
      </c>
      <c r="G583" s="40">
        <v>1.8171946401269488E-2</v>
      </c>
      <c r="H583" s="41">
        <v>92687.808311323854</v>
      </c>
      <c r="I583" s="41">
        <v>1684.3178846845112</v>
      </c>
      <c r="J583" s="41">
        <v>459405.33648498927</v>
      </c>
      <c r="K583" s="40">
        <v>0.97874607568648719</v>
      </c>
      <c r="L583" s="41">
        <v>3734599.4802494794</v>
      </c>
      <c r="M583" s="42">
        <v>40.292240676417158</v>
      </c>
      <c r="N583" s="43">
        <v>2.6051402717334695</v>
      </c>
      <c r="O583" s="40">
        <v>0.98182805359873049</v>
      </c>
    </row>
    <row r="584" spans="1:15">
      <c r="A584" s="39">
        <v>1</v>
      </c>
      <c r="B584" s="39">
        <v>2015</v>
      </c>
      <c r="C584" s="39">
        <v>5</v>
      </c>
      <c r="D584" s="39">
        <v>45</v>
      </c>
      <c r="E584" s="39">
        <v>5</v>
      </c>
      <c r="F584" s="40">
        <v>5.0041053291111906E-3</v>
      </c>
      <c r="G584" s="40">
        <v>2.4724895337615137E-2</v>
      </c>
      <c r="H584" s="41">
        <v>91003.490426639342</v>
      </c>
      <c r="I584" s="41">
        <v>2250.0517761563096</v>
      </c>
      <c r="J584" s="41">
        <v>449641.17023411341</v>
      </c>
      <c r="K584" s="40">
        <v>0.97173994522747364</v>
      </c>
      <c r="L584" s="41">
        <v>3275194.1437644903</v>
      </c>
      <c r="M584" s="42">
        <v>35.989764001466767</v>
      </c>
      <c r="N584" s="43">
        <v>2.6105963622457371</v>
      </c>
      <c r="O584" s="40">
        <v>0.97527510466238487</v>
      </c>
    </row>
    <row r="585" spans="1:15">
      <c r="A585" s="39">
        <v>1</v>
      </c>
      <c r="B585" s="39">
        <v>2015</v>
      </c>
      <c r="C585" s="39">
        <v>5</v>
      </c>
      <c r="D585" s="39">
        <v>50</v>
      </c>
      <c r="E585" s="39">
        <v>5</v>
      </c>
      <c r="F585" s="40">
        <v>6.5540726188264582E-3</v>
      </c>
      <c r="G585" s="40">
        <v>3.2265781298495798E-2</v>
      </c>
      <c r="H585" s="41">
        <v>88753.438650483033</v>
      </c>
      <c r="I585" s="41">
        <v>2863.6990409859427</v>
      </c>
      <c r="J585" s="41">
        <v>436934.2861353145</v>
      </c>
      <c r="K585" s="40">
        <v>0.96179821045768954</v>
      </c>
      <c r="L585" s="41">
        <v>2825552.9735303768</v>
      </c>
      <c r="M585" s="42">
        <v>31.835983106610584</v>
      </c>
      <c r="N585" s="43">
        <v>2.6139576752631841</v>
      </c>
      <c r="O585" s="40">
        <v>0.96773421870150422</v>
      </c>
    </row>
    <row r="586" spans="1:15">
      <c r="A586" s="39">
        <v>1</v>
      </c>
      <c r="B586" s="39">
        <v>2015</v>
      </c>
      <c r="C586" s="39">
        <v>5</v>
      </c>
      <c r="D586" s="39">
        <v>55</v>
      </c>
      <c r="E586" s="39">
        <v>5</v>
      </c>
      <c r="F586" s="40">
        <v>9.2331125142751328E-3</v>
      </c>
      <c r="G586" s="40">
        <v>4.5175912286429344E-2</v>
      </c>
      <c r="H586" s="41">
        <v>85889.73960949709</v>
      </c>
      <c r="I586" s="41">
        <v>3880.1473429028993</v>
      </c>
      <c r="J586" s="41">
        <v>420242.61449255358</v>
      </c>
      <c r="K586" s="40">
        <v>0.94570468278163788</v>
      </c>
      <c r="L586" s="41">
        <v>2388618.6873950623</v>
      </c>
      <c r="M586" s="42">
        <v>27.810291406809032</v>
      </c>
      <c r="N586" s="43">
        <v>2.6273881527281384</v>
      </c>
      <c r="O586" s="40">
        <v>0.95482408771357064</v>
      </c>
    </row>
    <row r="587" spans="1:15">
      <c r="A587" s="39">
        <v>1</v>
      </c>
      <c r="B587" s="39">
        <v>2015</v>
      </c>
      <c r="C587" s="39">
        <v>5</v>
      </c>
      <c r="D587" s="39">
        <v>60</v>
      </c>
      <c r="E587" s="39">
        <v>5</v>
      </c>
      <c r="F587" s="40">
        <v>1.324845429346563E-2</v>
      </c>
      <c r="G587" s="40">
        <v>6.4203128111290572E-2</v>
      </c>
      <c r="H587" s="41">
        <v>82009.592266594191</v>
      </c>
      <c r="I587" s="41">
        <v>5265.2723586468637</v>
      </c>
      <c r="J587" s="41">
        <v>397425.40843000653</v>
      </c>
      <c r="K587" s="40">
        <v>0.92735674767541187</v>
      </c>
      <c r="L587" s="41">
        <v>1968376.0729025088</v>
      </c>
      <c r="M587" s="42">
        <v>24.001778554193685</v>
      </c>
      <c r="N587" s="43">
        <v>2.6026780680708548</v>
      </c>
      <c r="O587" s="40">
        <v>0.93579687188870941</v>
      </c>
    </row>
    <row r="588" spans="1:15">
      <c r="A588" s="39">
        <v>1</v>
      </c>
      <c r="B588" s="39">
        <v>2015</v>
      </c>
      <c r="C588" s="39">
        <v>5</v>
      </c>
      <c r="D588" s="39">
        <v>65</v>
      </c>
      <c r="E588" s="39">
        <v>5</v>
      </c>
      <c r="F588" s="40">
        <v>1.7255578430813375E-2</v>
      </c>
      <c r="G588" s="40">
        <v>8.2867787896034231E-2</v>
      </c>
      <c r="H588" s="41">
        <v>76744.319907947327</v>
      </c>
      <c r="I588" s="41">
        <v>6359.6320243571681</v>
      </c>
      <c r="J588" s="41">
        <v>368555.13420522306</v>
      </c>
      <c r="K588" s="40">
        <v>0.89568077426117676</v>
      </c>
      <c r="L588" s="41">
        <v>1570950.6644725022</v>
      </c>
      <c r="M588" s="42">
        <v>20.469927498957755</v>
      </c>
      <c r="N588" s="43">
        <v>2.6151976597975302</v>
      </c>
      <c r="O588" s="40">
        <v>0.91713221210396578</v>
      </c>
    </row>
    <row r="589" spans="1:15">
      <c r="A589" s="39">
        <v>1</v>
      </c>
      <c r="B589" s="39">
        <v>2015</v>
      </c>
      <c r="C589" s="39">
        <v>5</v>
      </c>
      <c r="D589" s="39">
        <v>70</v>
      </c>
      <c r="E589" s="39">
        <v>5</v>
      </c>
      <c r="F589" s="40">
        <v>2.736830083594503E-2</v>
      </c>
      <c r="G589" s="40">
        <v>0.12835871588244102</v>
      </c>
      <c r="H589" s="41">
        <v>70384.687883590159</v>
      </c>
      <c r="I589" s="41">
        <v>9034.4881545240351</v>
      </c>
      <c r="J589" s="41">
        <v>330107.74796286609</v>
      </c>
      <c r="K589" s="40">
        <v>0.85750007398848749</v>
      </c>
      <c r="L589" s="41">
        <v>1202395.5302672791</v>
      </c>
      <c r="M589" s="42">
        <v>17.083197587747087</v>
      </c>
      <c r="N589" s="43">
        <v>2.5852875025177293</v>
      </c>
      <c r="O589" s="40">
        <v>0.87164128411755892</v>
      </c>
    </row>
    <row r="590" spans="1:15">
      <c r="A590" s="39">
        <v>1</v>
      </c>
      <c r="B590" s="39">
        <v>2015</v>
      </c>
      <c r="C590" s="39">
        <v>5</v>
      </c>
      <c r="D590" s="39">
        <v>75</v>
      </c>
      <c r="E590" s="39">
        <v>5</v>
      </c>
      <c r="F590" s="40">
        <v>3.4164889671290763E-2</v>
      </c>
      <c r="G590" s="40">
        <v>0.15763546261536271</v>
      </c>
      <c r="H590" s="41">
        <v>61350.199729066124</v>
      </c>
      <c r="I590" s="41">
        <v>9670.9671158362398</v>
      </c>
      <c r="J590" s="41">
        <v>283067.41830233065</v>
      </c>
      <c r="K590" s="40">
        <v>0.81473879647018832</v>
      </c>
      <c r="L590" s="41">
        <v>872287.78230441292</v>
      </c>
      <c r="M590" s="42">
        <v>14.218173472239663</v>
      </c>
      <c r="N590" s="43">
        <v>2.5510639153949746</v>
      </c>
      <c r="O590" s="40">
        <v>0.84236453738463735</v>
      </c>
    </row>
    <row r="591" spans="1:15">
      <c r="A591" s="39">
        <v>1</v>
      </c>
      <c r="B591" s="39">
        <v>2015</v>
      </c>
      <c r="C591" s="39">
        <v>5</v>
      </c>
      <c r="D591" s="39">
        <v>80</v>
      </c>
      <c r="E591" s="39">
        <v>5</v>
      </c>
      <c r="F591" s="40">
        <v>4.9212178850387915E-2</v>
      </c>
      <c r="G591" s="40">
        <v>0.21961642549525964</v>
      </c>
      <c r="H591" s="41">
        <v>51679.232613229884</v>
      </c>
      <c r="I591" s="41">
        <v>11349.608338855593</v>
      </c>
      <c r="J591" s="41">
        <v>230626.00770756425</v>
      </c>
      <c r="K591" s="40">
        <v>0.74148966504274849</v>
      </c>
      <c r="L591" s="41">
        <v>589220.36400208226</v>
      </c>
      <c r="M591" s="42">
        <v>11.401492131507421</v>
      </c>
      <c r="N591" s="43">
        <v>2.5532058438075307</v>
      </c>
      <c r="O591" s="40">
        <v>0.78038357450474038</v>
      </c>
    </row>
    <row r="592" spans="1:15">
      <c r="A592" s="39">
        <v>1</v>
      </c>
      <c r="B592" s="39">
        <v>2015</v>
      </c>
      <c r="C592" s="39">
        <v>5</v>
      </c>
      <c r="D592" s="39">
        <v>85</v>
      </c>
      <c r="E592" s="39">
        <v>5</v>
      </c>
      <c r="F592" s="40">
        <v>7.2147189992394306E-2</v>
      </c>
      <c r="G592" s="40">
        <v>0.30592053356630522</v>
      </c>
      <c r="H592" s="41">
        <v>40329.624274374291</v>
      </c>
      <c r="I592" s="41">
        <v>12337.6601765452</v>
      </c>
      <c r="J592" s="41">
        <v>171006.80120522814</v>
      </c>
      <c r="K592" s="40">
        <v>0.63988824526236832</v>
      </c>
      <c r="L592" s="41">
        <v>358594.35629451799</v>
      </c>
      <c r="M592" s="42">
        <v>8.8915868358925234</v>
      </c>
      <c r="N592" s="43">
        <v>2.5164399304095997</v>
      </c>
      <c r="O592" s="40">
        <v>0.69407946643369478</v>
      </c>
    </row>
    <row r="593" spans="1:15">
      <c r="A593" s="39">
        <v>1</v>
      </c>
      <c r="B593" s="39">
        <v>2015</v>
      </c>
      <c r="C593" s="39">
        <v>5</v>
      </c>
      <c r="D593" s="39">
        <v>90</v>
      </c>
      <c r="E593" s="39">
        <v>5</v>
      </c>
      <c r="F593" s="40">
        <v>0.10956573583203194</v>
      </c>
      <c r="G593" s="40">
        <v>0.42831067913183896</v>
      </c>
      <c r="H593" s="41">
        <v>27991.964097829092</v>
      </c>
      <c r="I593" s="41">
        <v>11989.257152975233</v>
      </c>
      <c r="J593" s="41">
        <v>109425.24195114408</v>
      </c>
      <c r="K593" s="40">
        <v>0.50117961671526767</v>
      </c>
      <c r="L593" s="41">
        <v>187587.55508928985</v>
      </c>
      <c r="M593" s="42">
        <v>6.7014788399159935</v>
      </c>
      <c r="N593" s="43">
        <v>2.4531717729964644</v>
      </c>
      <c r="O593" s="40">
        <v>0.57168932086816104</v>
      </c>
    </row>
    <row r="594" spans="1:15">
      <c r="A594" s="39">
        <v>1</v>
      </c>
      <c r="B594" s="39">
        <v>2015</v>
      </c>
      <c r="C594" s="39">
        <v>5</v>
      </c>
      <c r="D594" s="39">
        <v>95</v>
      </c>
      <c r="E594" s="39">
        <v>5</v>
      </c>
      <c r="F594" s="40">
        <v>0.17236084347550518</v>
      </c>
      <c r="G594" s="40">
        <v>0.59068517867315184</v>
      </c>
      <c r="H594" s="41">
        <v>16002.706944853859</v>
      </c>
      <c r="I594" s="41">
        <v>9452.5618109750903</v>
      </c>
      <c r="J594" s="41">
        <v>54841.700820049817</v>
      </c>
      <c r="K594" s="40">
        <v>0.29836133785957186</v>
      </c>
      <c r="L594" s="41">
        <v>78162.313138145779</v>
      </c>
      <c r="M594" s="42">
        <v>4.8843182223793189</v>
      </c>
      <c r="N594" s="43">
        <v>2.3370357784920057</v>
      </c>
      <c r="O594" s="40">
        <v>0.40931482132684816</v>
      </c>
    </row>
    <row r="595" spans="1:15">
      <c r="A595" s="39">
        <v>1</v>
      </c>
      <c r="B595" s="39">
        <v>2015</v>
      </c>
      <c r="C595" s="39">
        <v>5</v>
      </c>
      <c r="D595" s="39">
        <v>100</v>
      </c>
      <c r="E595" s="39">
        <v>0</v>
      </c>
      <c r="F595" s="40">
        <v>0.28087363421397343</v>
      </c>
      <c r="G595" s="40">
        <v>1</v>
      </c>
      <c r="H595" s="41">
        <v>6550.1451338787692</v>
      </c>
      <c r="I595" s="41">
        <v>6550.1451338787692</v>
      </c>
      <c r="J595" s="41">
        <v>23320.612318095966</v>
      </c>
      <c r="K595" s="40">
        <v>0</v>
      </c>
      <c r="L595" s="41">
        <v>23320.612318095966</v>
      </c>
      <c r="M595" s="42">
        <v>3.5603199381761343</v>
      </c>
      <c r="N595" s="43">
        <v>3.5603199381761343</v>
      </c>
      <c r="O595" s="40">
        <v>0</v>
      </c>
    </row>
    <row r="596" spans="1:15">
      <c r="A596" s="44">
        <v>2</v>
      </c>
      <c r="B596" s="44">
        <v>2015</v>
      </c>
      <c r="C596" s="44">
        <v>5</v>
      </c>
      <c r="D596" s="44">
        <v>0</v>
      </c>
      <c r="E596" s="44">
        <v>1</v>
      </c>
      <c r="F596" s="45">
        <v>7.3582731368767394E-3</v>
      </c>
      <c r="G596" s="45">
        <v>7.3084537395209188E-3</v>
      </c>
      <c r="H596" s="46">
        <v>100000</v>
      </c>
      <c r="I596" s="46">
        <v>730.8453739520919</v>
      </c>
      <c r="J596" s="46">
        <v>99322.94715853798</v>
      </c>
      <c r="K596" s="45">
        <v>0.99212613473669331</v>
      </c>
      <c r="L596" s="46">
        <v>8286166.9659820143</v>
      </c>
      <c r="M596" s="47">
        <v>82.861669659820137</v>
      </c>
      <c r="N596" s="48">
        <v>7.3603164783254862E-2</v>
      </c>
      <c r="O596" s="45">
        <v>0.99269154626047906</v>
      </c>
    </row>
    <row r="597" spans="1:15">
      <c r="A597" s="44">
        <v>2</v>
      </c>
      <c r="B597" s="44">
        <v>2015</v>
      </c>
      <c r="C597" s="44">
        <v>5</v>
      </c>
      <c r="D597" s="44">
        <v>1</v>
      </c>
      <c r="E597" s="44">
        <v>4</v>
      </c>
      <c r="F597" s="45">
        <v>3.4073928927377242E-4</v>
      </c>
      <c r="G597" s="45">
        <v>1.3618021337638289E-3</v>
      </c>
      <c r="H597" s="46">
        <v>99269.154626047908</v>
      </c>
      <c r="I597" s="46">
        <v>135.18494658668351</v>
      </c>
      <c r="J597" s="46">
        <v>396740.12020980864</v>
      </c>
      <c r="K597" s="45">
        <v>0.9987088471920893</v>
      </c>
      <c r="L597" s="46">
        <v>8186844.0188234765</v>
      </c>
      <c r="M597" s="47">
        <v>82.471176969963594</v>
      </c>
      <c r="N597" s="48">
        <v>1.510830141378221</v>
      </c>
      <c r="O597" s="45">
        <v>0.9986381978662362</v>
      </c>
    </row>
    <row r="598" spans="1:15">
      <c r="A598" s="44">
        <v>2</v>
      </c>
      <c r="B598" s="44">
        <v>2015</v>
      </c>
      <c r="C598" s="44">
        <v>5</v>
      </c>
      <c r="D598" s="44">
        <v>5</v>
      </c>
      <c r="E598" s="44">
        <v>5</v>
      </c>
      <c r="F598" s="45">
        <v>1.9964714100417441E-4</v>
      </c>
      <c r="G598" s="45">
        <v>9.9773771631453639E-4</v>
      </c>
      <c r="H598" s="46">
        <v>99133.969679461225</v>
      </c>
      <c r="I598" s="46">
        <v>98.909700517178862</v>
      </c>
      <c r="J598" s="46">
        <v>495422.57414601318</v>
      </c>
      <c r="K598" s="45">
        <v>0.99890372510063508</v>
      </c>
      <c r="L598" s="46">
        <v>7790103.898613668</v>
      </c>
      <c r="M598" s="47">
        <v>78.581579289138844</v>
      </c>
      <c r="N598" s="48">
        <v>2.5</v>
      </c>
      <c r="O598" s="45">
        <v>0.99900226228368549</v>
      </c>
    </row>
    <row r="599" spans="1:15">
      <c r="A599" s="44">
        <v>2</v>
      </c>
      <c r="B599" s="44">
        <v>2015</v>
      </c>
      <c r="C599" s="44">
        <v>5</v>
      </c>
      <c r="D599" s="44">
        <v>10</v>
      </c>
      <c r="E599" s="44">
        <v>5</v>
      </c>
      <c r="F599" s="45">
        <v>2.3912496543923453E-4</v>
      </c>
      <c r="G599" s="45">
        <v>1.1949104948692012E-3</v>
      </c>
      <c r="H599" s="46">
        <v>99035.059978944046</v>
      </c>
      <c r="I599" s="46">
        <v>118.33803252884536</v>
      </c>
      <c r="J599" s="46">
        <v>494879.45481339813</v>
      </c>
      <c r="K599" s="45">
        <v>0.99849852066521283</v>
      </c>
      <c r="L599" s="46">
        <v>7294681.3244676553</v>
      </c>
      <c r="M599" s="47">
        <v>73.657564563686691</v>
      </c>
      <c r="N599" s="48">
        <v>2.5</v>
      </c>
      <c r="O599" s="45">
        <v>0.99880508950513081</v>
      </c>
    </row>
    <row r="600" spans="1:15">
      <c r="A600" s="44">
        <v>2</v>
      </c>
      <c r="B600" s="44">
        <v>2015</v>
      </c>
      <c r="C600" s="44">
        <v>5</v>
      </c>
      <c r="D600" s="44">
        <v>15</v>
      </c>
      <c r="E600" s="44">
        <v>5</v>
      </c>
      <c r="F600" s="45">
        <v>3.8453966646580207E-4</v>
      </c>
      <c r="G600" s="45">
        <v>1.9209598141389039E-3</v>
      </c>
      <c r="H600" s="46">
        <v>98916.7219464152</v>
      </c>
      <c r="I600" s="46">
        <v>190.01504780541291</v>
      </c>
      <c r="J600" s="46">
        <v>494136.40353878506</v>
      </c>
      <c r="K600" s="45">
        <v>0.99781995703819437</v>
      </c>
      <c r="L600" s="46">
        <v>6799801.8696542569</v>
      </c>
      <c r="M600" s="47">
        <v>68.742693205480663</v>
      </c>
      <c r="N600" s="48">
        <v>2.6464695904036959</v>
      </c>
      <c r="O600" s="45">
        <v>0.99807904018586113</v>
      </c>
    </row>
    <row r="601" spans="1:15">
      <c r="A601" s="44">
        <v>2</v>
      </c>
      <c r="B601" s="44">
        <v>2015</v>
      </c>
      <c r="C601" s="44">
        <v>5</v>
      </c>
      <c r="D601" s="44">
        <v>20</v>
      </c>
      <c r="E601" s="44">
        <v>5</v>
      </c>
      <c r="F601" s="45">
        <v>4.8487237589877897E-4</v>
      </c>
      <c r="G601" s="45">
        <v>2.4215410022085824E-3</v>
      </c>
      <c r="H601" s="46">
        <v>98726.706898609787</v>
      </c>
      <c r="I601" s="46">
        <v>239.07076876801148</v>
      </c>
      <c r="J601" s="46">
        <v>493059.16495007841</v>
      </c>
      <c r="K601" s="45">
        <v>0.9972687604520849</v>
      </c>
      <c r="L601" s="46">
        <v>6305665.4661154719</v>
      </c>
      <c r="M601" s="47">
        <v>63.869905765126504</v>
      </c>
      <c r="N601" s="48">
        <v>2.5974915464137962</v>
      </c>
      <c r="O601" s="45">
        <v>0.99757845899779141</v>
      </c>
    </row>
    <row r="602" spans="1:15">
      <c r="A602" s="44">
        <v>2</v>
      </c>
      <c r="B602" s="44">
        <v>2015</v>
      </c>
      <c r="C602" s="44">
        <v>5</v>
      </c>
      <c r="D602" s="44">
        <v>25</v>
      </c>
      <c r="E602" s="44">
        <v>5</v>
      </c>
      <c r="F602" s="45">
        <v>6.16991405265114E-4</v>
      </c>
      <c r="G602" s="45">
        <v>3.0804108990434894E-3</v>
      </c>
      <c r="H602" s="46">
        <v>98487.636129841776</v>
      </c>
      <c r="I602" s="46">
        <v>303.38238775539503</v>
      </c>
      <c r="J602" s="46">
        <v>491712.50225930475</v>
      </c>
      <c r="K602" s="45">
        <v>0.99643809668753724</v>
      </c>
      <c r="L602" s="46">
        <v>5812606.3011653936</v>
      </c>
      <c r="M602" s="47">
        <v>59.018639593525307</v>
      </c>
      <c r="N602" s="48">
        <v>2.6080404822667456</v>
      </c>
      <c r="O602" s="45">
        <v>0.99691958910095646</v>
      </c>
    </row>
    <row r="603" spans="1:15">
      <c r="A603" s="44">
        <v>2</v>
      </c>
      <c r="B603" s="44">
        <v>2015</v>
      </c>
      <c r="C603" s="44">
        <v>5</v>
      </c>
      <c r="D603" s="44">
        <v>30</v>
      </c>
      <c r="E603" s="44">
        <v>5</v>
      </c>
      <c r="F603" s="45">
        <v>8.1946356959457863E-4</v>
      </c>
      <c r="G603" s="45">
        <v>4.0893038544825506E-3</v>
      </c>
      <c r="H603" s="46">
        <v>98184.253742086381</v>
      </c>
      <c r="I603" s="46">
        <v>401.5052472770185</v>
      </c>
      <c r="J603" s="46">
        <v>489961.06986872799</v>
      </c>
      <c r="K603" s="45">
        <v>0.99539371928254516</v>
      </c>
      <c r="L603" s="46">
        <v>5320893.7989060888</v>
      </c>
      <c r="M603" s="47">
        <v>54.192944348114999</v>
      </c>
      <c r="N603" s="48">
        <v>2.6085023839267487</v>
      </c>
      <c r="O603" s="45">
        <v>0.99591069614551742</v>
      </c>
    </row>
    <row r="604" spans="1:15">
      <c r="A604" s="44">
        <v>2</v>
      </c>
      <c r="B604" s="44">
        <v>2015</v>
      </c>
      <c r="C604" s="44">
        <v>5</v>
      </c>
      <c r="D604" s="44">
        <v>35</v>
      </c>
      <c r="E604" s="44">
        <v>5</v>
      </c>
      <c r="F604" s="45">
        <v>1.0471852951938765E-3</v>
      </c>
      <c r="G604" s="45">
        <v>5.2229728127710651E-3</v>
      </c>
      <c r="H604" s="46">
        <v>97782.748494809362</v>
      </c>
      <c r="I604" s="46">
        <v>510.71663694641029</v>
      </c>
      <c r="J604" s="46">
        <v>487704.17164028814</v>
      </c>
      <c r="K604" s="45">
        <v>0.99364384684440477</v>
      </c>
      <c r="L604" s="46">
        <v>4830932.7290373612</v>
      </c>
      <c r="M604" s="47">
        <v>49.404754963436147</v>
      </c>
      <c r="N604" s="48">
        <v>2.6316204598488193</v>
      </c>
      <c r="O604" s="45">
        <v>0.99477702718722893</v>
      </c>
    </row>
    <row r="605" spans="1:15">
      <c r="A605" s="44">
        <v>2</v>
      </c>
      <c r="B605" s="44">
        <v>2015</v>
      </c>
      <c r="C605" s="44">
        <v>5</v>
      </c>
      <c r="D605" s="44">
        <v>40</v>
      </c>
      <c r="E605" s="44">
        <v>5</v>
      </c>
      <c r="F605" s="45">
        <v>1.5575977398212294E-3</v>
      </c>
      <c r="G605" s="45">
        <v>7.7598716598466675E-3</v>
      </c>
      <c r="H605" s="46">
        <v>97272.031857862952</v>
      </c>
      <c r="I605" s="46">
        <v>754.81848330954381</v>
      </c>
      <c r="J605" s="46">
        <v>484604.24923071975</v>
      </c>
      <c r="K605" s="45">
        <v>0.99015558012404314</v>
      </c>
      <c r="L605" s="46">
        <v>4343228.5573970731</v>
      </c>
      <c r="M605" s="47">
        <v>44.650332417683423</v>
      </c>
      <c r="N605" s="48">
        <v>2.6737320330364729</v>
      </c>
      <c r="O605" s="45">
        <v>0.99224012834015329</v>
      </c>
    </row>
    <row r="606" spans="1:15">
      <c r="A606" s="44">
        <v>2</v>
      </c>
      <c r="B606" s="44">
        <v>2015</v>
      </c>
      <c r="C606" s="44">
        <v>5</v>
      </c>
      <c r="D606" s="44">
        <v>45</v>
      </c>
      <c r="E606" s="44">
        <v>5</v>
      </c>
      <c r="F606" s="45">
        <v>2.4487939289830332E-3</v>
      </c>
      <c r="G606" s="45">
        <v>1.2174135257956889E-2</v>
      </c>
      <c r="H606" s="46">
        <v>96517.213374553408</v>
      </c>
      <c r="I606" s="46">
        <v>1175.0136103428958</v>
      </c>
      <c r="J606" s="46">
        <v>479833.6015276197</v>
      </c>
      <c r="K606" s="45">
        <v>0.98561040524825339</v>
      </c>
      <c r="L606" s="46">
        <v>3858624.3081663535</v>
      </c>
      <c r="M606" s="47">
        <v>39.978612863513035</v>
      </c>
      <c r="N606" s="48">
        <v>2.6575034357737048</v>
      </c>
      <c r="O606" s="45">
        <v>0.98782586474204315</v>
      </c>
    </row>
    <row r="607" spans="1:15">
      <c r="A607" s="44">
        <v>2</v>
      </c>
      <c r="B607" s="44">
        <v>2015</v>
      </c>
      <c r="C607" s="44">
        <v>5</v>
      </c>
      <c r="D607" s="44">
        <v>50</v>
      </c>
      <c r="E607" s="44">
        <v>5</v>
      </c>
      <c r="F607" s="45">
        <v>3.399570686637265E-3</v>
      </c>
      <c r="G607" s="45">
        <v>1.6863000190706075E-2</v>
      </c>
      <c r="H607" s="46">
        <v>95342.199764210513</v>
      </c>
      <c r="I607" s="46">
        <v>1607.7555328062153</v>
      </c>
      <c r="J607" s="46">
        <v>472928.99045336619</v>
      </c>
      <c r="K607" s="45">
        <v>0.97920212584183364</v>
      </c>
      <c r="L607" s="46">
        <v>3378790.7066387339</v>
      </c>
      <c r="M607" s="47">
        <v>35.438564612467246</v>
      </c>
      <c r="N607" s="48">
        <v>2.6476471139333193</v>
      </c>
      <c r="O607" s="45">
        <v>0.98313699980929392</v>
      </c>
    </row>
    <row r="608" spans="1:15">
      <c r="A608" s="44">
        <v>2</v>
      </c>
      <c r="B608" s="44">
        <v>2015</v>
      </c>
      <c r="C608" s="44">
        <v>5</v>
      </c>
      <c r="D608" s="44">
        <v>55</v>
      </c>
      <c r="E608" s="44">
        <v>5</v>
      </c>
      <c r="F608" s="45">
        <v>5.1464002166492539E-3</v>
      </c>
      <c r="G608" s="45">
        <v>2.5425683267801289E-2</v>
      </c>
      <c r="H608" s="46">
        <v>93734.444231404297</v>
      </c>
      <c r="I608" s="46">
        <v>2383.262290311075</v>
      </c>
      <c r="J608" s="46">
        <v>463093.07282416843</v>
      </c>
      <c r="K608" s="45">
        <v>0.96870688006153638</v>
      </c>
      <c r="L608" s="46">
        <v>2905861.7161853677</v>
      </c>
      <c r="M608" s="47">
        <v>31.001002246427177</v>
      </c>
      <c r="N608" s="48">
        <v>2.659028821320025</v>
      </c>
      <c r="O608" s="45">
        <v>0.97457431673219874</v>
      </c>
    </row>
    <row r="609" spans="1:15">
      <c r="A609" s="44">
        <v>2</v>
      </c>
      <c r="B609" s="44">
        <v>2015</v>
      </c>
      <c r="C609" s="44">
        <v>5</v>
      </c>
      <c r="D609" s="44">
        <v>60</v>
      </c>
      <c r="E609" s="44">
        <v>5</v>
      </c>
      <c r="F609" s="45">
        <v>7.6787095025334364E-3</v>
      </c>
      <c r="G609" s="45">
        <v>3.7708107450429559E-2</v>
      </c>
      <c r="H609" s="46">
        <v>91351.181941093222</v>
      </c>
      <c r="I609" s="46">
        <v>3444.6801843584835</v>
      </c>
      <c r="J609" s="46">
        <v>448601.44575361005</v>
      </c>
      <c r="K609" s="45">
        <v>0.95615085991437998</v>
      </c>
      <c r="L609" s="46">
        <v>2442768.6433611992</v>
      </c>
      <c r="M609" s="47">
        <v>26.740416395886271</v>
      </c>
      <c r="N609" s="48">
        <v>2.6327369986672053</v>
      </c>
      <c r="O609" s="45">
        <v>0.96229189254957048</v>
      </c>
    </row>
    <row r="610" spans="1:15">
      <c r="A610" s="44">
        <v>2</v>
      </c>
      <c r="B610" s="44">
        <v>2015</v>
      </c>
      <c r="C610" s="44">
        <v>5</v>
      </c>
      <c r="D610" s="44">
        <v>65</v>
      </c>
      <c r="E610" s="44">
        <v>5</v>
      </c>
      <c r="F610" s="45">
        <v>1.0508896370803295E-2</v>
      </c>
      <c r="G610" s="45">
        <v>5.127706991317877E-2</v>
      </c>
      <c r="H610" s="46">
        <v>87906.501756734739</v>
      </c>
      <c r="I610" s="46">
        <v>4507.587836403065</v>
      </c>
      <c r="J610" s="46">
        <v>428930.65811614832</v>
      </c>
      <c r="K610" s="45">
        <v>0.93373728937540545</v>
      </c>
      <c r="L610" s="46">
        <v>1994167.197607589</v>
      </c>
      <c r="M610" s="47">
        <v>22.685093340718804</v>
      </c>
      <c r="N610" s="48">
        <v>2.6479990956792125</v>
      </c>
      <c r="O610" s="45">
        <v>0.94872293008682118</v>
      </c>
    </row>
    <row r="611" spans="1:15">
      <c r="A611" s="44">
        <v>2</v>
      </c>
      <c r="B611" s="44">
        <v>2015</v>
      </c>
      <c r="C611" s="44">
        <v>5</v>
      </c>
      <c r="D611" s="44">
        <v>70</v>
      </c>
      <c r="E611" s="44">
        <v>5</v>
      </c>
      <c r="F611" s="45">
        <v>1.7355962763578911E-2</v>
      </c>
      <c r="G611" s="45">
        <v>8.3348944898955765E-2</v>
      </c>
      <c r="H611" s="46">
        <v>83398.913920331674</v>
      </c>
      <c r="I611" s="46">
        <v>6951.2114809784835</v>
      </c>
      <c r="J611" s="46">
        <v>400508.55003938108</v>
      </c>
      <c r="K611" s="45">
        <v>0.90462740894331639</v>
      </c>
      <c r="L611" s="46">
        <v>1565236.5394914406</v>
      </c>
      <c r="M611" s="47">
        <v>18.768068622412294</v>
      </c>
      <c r="N611" s="48">
        <v>2.6283242701807952</v>
      </c>
      <c r="O611" s="45">
        <v>0.91665105510104428</v>
      </c>
    </row>
    <row r="612" spans="1:15">
      <c r="A612" s="44">
        <v>2</v>
      </c>
      <c r="B612" s="44">
        <v>2015</v>
      </c>
      <c r="C612" s="44">
        <v>5</v>
      </c>
      <c r="D612" s="44">
        <v>75</v>
      </c>
      <c r="E612" s="44">
        <v>5</v>
      </c>
      <c r="F612" s="45">
        <v>2.314406315241508E-2</v>
      </c>
      <c r="G612" s="45">
        <v>0.10968738983960025</v>
      </c>
      <c r="H612" s="46">
        <v>76447.70243935319</v>
      </c>
      <c r="I612" s="46">
        <v>8385.3489398070815</v>
      </c>
      <c r="J612" s="46">
        <v>362311.01188176987</v>
      </c>
      <c r="K612" s="45">
        <v>0.85905071630930696</v>
      </c>
      <c r="L612" s="46">
        <v>1164727.9894520596</v>
      </c>
      <c r="M612" s="47">
        <v>15.235617975256369</v>
      </c>
      <c r="N612" s="48">
        <v>2.6235335633564532</v>
      </c>
      <c r="O612" s="45">
        <v>0.89031261016039975</v>
      </c>
    </row>
    <row r="613" spans="1:15">
      <c r="A613" s="44">
        <v>2</v>
      </c>
      <c r="B613" s="44">
        <v>2015</v>
      </c>
      <c r="C613" s="44">
        <v>5</v>
      </c>
      <c r="D613" s="44">
        <v>80</v>
      </c>
      <c r="E613" s="44">
        <v>5</v>
      </c>
      <c r="F613" s="45">
        <v>3.9580550876097964E-2</v>
      </c>
      <c r="G613" s="45">
        <v>0.18099859775871571</v>
      </c>
      <c r="H613" s="46">
        <v>68062.353499546109</v>
      </c>
      <c r="I613" s="46">
        <v>12319.190543575867</v>
      </c>
      <c r="J613" s="46">
        <v>311243.53428378422</v>
      </c>
      <c r="K613" s="45">
        <v>0.76982695310079441</v>
      </c>
      <c r="L613" s="46">
        <v>802416.97757028975</v>
      </c>
      <c r="M613" s="47">
        <v>11.789439187929945</v>
      </c>
      <c r="N613" s="48">
        <v>2.640410454637816</v>
      </c>
      <c r="O613" s="45">
        <v>0.81900140224128426</v>
      </c>
    </row>
    <row r="614" spans="1:15">
      <c r="A614" s="44">
        <v>2</v>
      </c>
      <c r="B614" s="44">
        <v>2015</v>
      </c>
      <c r="C614" s="44">
        <v>5</v>
      </c>
      <c r="D614" s="44">
        <v>85</v>
      </c>
      <c r="E614" s="44">
        <v>5</v>
      </c>
      <c r="F614" s="45">
        <v>6.7458593995280772E-2</v>
      </c>
      <c r="G614" s="45">
        <v>0.2899606924915008</v>
      </c>
      <c r="H614" s="46">
        <v>55743.162955970241</v>
      </c>
      <c r="I614" s="46">
        <v>16163.326132379712</v>
      </c>
      <c r="J614" s="46">
        <v>239603.66167000827</v>
      </c>
      <c r="K614" s="45">
        <v>0.64138307083846025</v>
      </c>
      <c r="L614" s="46">
        <v>491173.44328650547</v>
      </c>
      <c r="M614" s="47">
        <v>8.8113665827406997</v>
      </c>
      <c r="N614" s="48">
        <v>2.5801915528085373</v>
      </c>
      <c r="O614" s="45">
        <v>0.7100393075084992</v>
      </c>
    </row>
    <row r="615" spans="1:15">
      <c r="A615" s="44">
        <v>2</v>
      </c>
      <c r="B615" s="44">
        <v>2015</v>
      </c>
      <c r="C615" s="44">
        <v>5</v>
      </c>
      <c r="D615" s="44">
        <v>90</v>
      </c>
      <c r="E615" s="44">
        <v>5</v>
      </c>
      <c r="F615" s="45">
        <v>0.11418766185119168</v>
      </c>
      <c r="G615" s="45">
        <v>0.44335960779307798</v>
      </c>
      <c r="H615" s="46">
        <v>39579.836823590529</v>
      </c>
      <c r="I615" s="46">
        <v>17548.100930621124</v>
      </c>
      <c r="J615" s="46">
        <v>153677.73230604938</v>
      </c>
      <c r="K615" s="45">
        <v>0.4730164707727974</v>
      </c>
      <c r="L615" s="46">
        <v>251569.7816164972</v>
      </c>
      <c r="M615" s="47">
        <v>6.3560085590488233</v>
      </c>
      <c r="N615" s="48">
        <v>2.4799864676674148</v>
      </c>
      <c r="O615" s="45">
        <v>0.55664039220692207</v>
      </c>
    </row>
    <row r="616" spans="1:15">
      <c r="A616" s="44">
        <v>2</v>
      </c>
      <c r="B616" s="44">
        <v>2015</v>
      </c>
      <c r="C616" s="44">
        <v>5</v>
      </c>
      <c r="D616" s="44">
        <v>95</v>
      </c>
      <c r="E616" s="44">
        <v>5</v>
      </c>
      <c r="F616" s="45">
        <v>0.19196741626665517</v>
      </c>
      <c r="G616" s="45">
        <v>0.63338242676908452</v>
      </c>
      <c r="H616" s="46">
        <v>22031.735892969406</v>
      </c>
      <c r="I616" s="46">
        <v>13954.514345824506</v>
      </c>
      <c r="J616" s="46">
        <v>72692.098571774186</v>
      </c>
      <c r="K616" s="45">
        <v>0.25742591881753663</v>
      </c>
      <c r="L616" s="46">
        <v>97892.049310447823</v>
      </c>
      <c r="M616" s="47">
        <v>4.4432290667430507</v>
      </c>
      <c r="N616" s="48">
        <v>2.3150924521938911</v>
      </c>
      <c r="O616" s="45">
        <v>0.36661757323091548</v>
      </c>
    </row>
    <row r="617" spans="1:15">
      <c r="A617" s="44">
        <v>2</v>
      </c>
      <c r="B617" s="44">
        <v>2015</v>
      </c>
      <c r="C617" s="44">
        <v>5</v>
      </c>
      <c r="D617" s="44">
        <v>100</v>
      </c>
      <c r="E617" s="44">
        <v>0</v>
      </c>
      <c r="F617" s="45">
        <v>0.32052529113674111</v>
      </c>
      <c r="G617" s="45">
        <v>1</v>
      </c>
      <c r="H617" s="46">
        <v>8077.2215471448999</v>
      </c>
      <c r="I617" s="46">
        <v>8077.2215471448999</v>
      </c>
      <c r="J617" s="46">
        <v>25199.950738673633</v>
      </c>
      <c r="K617" s="45">
        <v>0</v>
      </c>
      <c r="L617" s="46">
        <v>25199.950738673633</v>
      </c>
      <c r="M617" s="47">
        <v>3.1198786106815652</v>
      </c>
      <c r="N617" s="48">
        <v>3.1198786106815652</v>
      </c>
      <c r="O617" s="45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OutFigures</vt:lpstr>
      <vt:lpstr>Input_M</vt:lpstr>
      <vt:lpstr>Input_F</vt:lpstr>
      <vt:lpstr>In_Mx_M</vt:lpstr>
      <vt:lpstr>In_Mx_F</vt:lpstr>
      <vt:lpstr>Out_Mx_M</vt:lpstr>
      <vt:lpstr>Out_Mx_F</vt:lpstr>
      <vt:lpstr>Out_LT</vt:lpstr>
    </vt:vector>
  </TitlesOfParts>
  <Company>United Nations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United Nations</dc:creator>
  <cp:lastModifiedBy>User</cp:lastModifiedBy>
  <cp:lastPrinted>2018-08-29T13:29:21Z</cp:lastPrinted>
  <dcterms:created xsi:type="dcterms:W3CDTF">2009-12-30T14:33:07Z</dcterms:created>
  <dcterms:modified xsi:type="dcterms:W3CDTF">2021-01-18T11:49:12Z</dcterms:modified>
</cp:coreProperties>
</file>